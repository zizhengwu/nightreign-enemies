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黑环\表\"/>
    </mc:Choice>
  </mc:AlternateContent>
  <xr:revisionPtr revIDLastSave="0" documentId="13_ncr:1_{844A217C-B0F9-4CC7-A878-3A331DAEDB5D}" xr6:coauthVersionLast="47" xr6:coauthVersionMax="47" xr10:uidLastSave="{00000000-0000-0000-0000-000000000000}"/>
  <bookViews>
    <workbookView xWindow="-103" yWindow="-103" windowWidth="22149" windowHeight="13200" xr2:uid="{DEF303A3-F16B-4D4B-8767-FED8ECE46AF4}"/>
  </bookViews>
  <sheets>
    <sheet name="敌人属性" sheetId="1" r:id="rId1"/>
  </sheets>
  <definedNames>
    <definedName name="_xlnm._FilterDatabase" localSheetId="0" hidden="1">敌人属性!$A$4:$N$129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7" i="1" l="1"/>
  <c r="Q32" i="1"/>
  <c r="Q129" i="1"/>
  <c r="Q98" i="1"/>
  <c r="Q80" i="1" l="1"/>
  <c r="Q81" i="1"/>
  <c r="Q82" i="1"/>
  <c r="Q83" i="1"/>
  <c r="Q84" i="1"/>
  <c r="Q85" i="1"/>
  <c r="Q86" i="1"/>
  <c r="Q88" i="1"/>
  <c r="Q89" i="1"/>
  <c r="Q90" i="1"/>
  <c r="Q91" i="1"/>
  <c r="Q92" i="1"/>
  <c r="Q93" i="1"/>
  <c r="Q94" i="1"/>
  <c r="Q95" i="1"/>
  <c r="Q96" i="1"/>
  <c r="Q97" i="1"/>
  <c r="Q100" i="1"/>
  <c r="Q99" i="1"/>
  <c r="Q101" i="1"/>
  <c r="Q102" i="1"/>
  <c r="Q127" i="1"/>
  <c r="Q79" i="1"/>
  <c r="Q128" i="1"/>
  <c r="Q106" i="1"/>
  <c r="Q115" i="1"/>
  <c r="Q6" i="1" l="1"/>
  <c r="Q7" i="1"/>
  <c r="Q8" i="1"/>
  <c r="Q12" i="1"/>
  <c r="Q5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3" i="1"/>
  <c r="Q51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103" i="1"/>
  <c r="Q104" i="1"/>
  <c r="Q105" i="1"/>
  <c r="Q107" i="1"/>
  <c r="Q108" i="1"/>
  <c r="Q109" i="1"/>
  <c r="Q110" i="1"/>
  <c r="Q111" i="1"/>
  <c r="Q112" i="1"/>
  <c r="Q113" i="1"/>
  <c r="Q114" i="1"/>
  <c r="Q116" i="1"/>
  <c r="Q117" i="1"/>
  <c r="Q118" i="1"/>
  <c r="Q119" i="1"/>
  <c r="Q120" i="1"/>
  <c r="Q121" i="1"/>
  <c r="Q122" i="1"/>
  <c r="Q123" i="1"/>
  <c r="Q124" i="1"/>
  <c r="Q125" i="1"/>
  <c r="Q126" i="1"/>
</calcChain>
</file>

<file path=xl/sharedStrings.xml><?xml version="1.0" encoding="utf-8"?>
<sst xmlns="http://schemas.openxmlformats.org/spreadsheetml/2006/main" count="418" uniqueCount="269">
  <si>
    <t>普</t>
    <phoneticPr fontId="4" type="noConversion"/>
  </si>
  <si>
    <t>斩</t>
    <phoneticPr fontId="4" type="noConversion"/>
  </si>
  <si>
    <t>打</t>
    <phoneticPr fontId="4" type="noConversion"/>
  </si>
  <si>
    <t>刺</t>
    <phoneticPr fontId="4" type="noConversion"/>
  </si>
  <si>
    <t>魔</t>
    <phoneticPr fontId="4" type="noConversion"/>
  </si>
  <si>
    <t>火</t>
    <phoneticPr fontId="4" type="noConversion"/>
  </si>
  <si>
    <t>雷</t>
    <phoneticPr fontId="4" type="noConversion"/>
  </si>
  <si>
    <t>圣</t>
    <phoneticPr fontId="4" type="noConversion"/>
  </si>
  <si>
    <t>韧性</t>
    <phoneticPr fontId="4" type="noConversion"/>
  </si>
  <si>
    <t>毒</t>
    <phoneticPr fontId="4" type="noConversion"/>
  </si>
  <si>
    <t>血</t>
    <phoneticPr fontId="4" type="noConversion"/>
  </si>
  <si>
    <t>冰</t>
    <phoneticPr fontId="4" type="noConversion"/>
  </si>
  <si>
    <t>腐败</t>
    <phoneticPr fontId="4" type="noConversion"/>
  </si>
  <si>
    <t>结晶人</t>
    <phoneticPr fontId="4" type="noConversion"/>
  </si>
  <si>
    <t>腐败树灵</t>
    <phoneticPr fontId="4" type="noConversion"/>
  </si>
  <si>
    <t>铃珠猎人</t>
    <phoneticPr fontId="4" type="noConversion"/>
  </si>
  <si>
    <t>黑夜骑兵</t>
    <phoneticPr fontId="4" type="noConversion"/>
  </si>
  <si>
    <t>黑夜骑兵的马</t>
    <phoneticPr fontId="4" type="noConversion"/>
  </si>
  <si>
    <t>熔炉骑士</t>
    <phoneticPr fontId="4" type="noConversion"/>
  </si>
  <si>
    <t>恶兆妖鬼</t>
    <phoneticPr fontId="4" type="noConversion"/>
  </si>
  <si>
    <t>恶兆之子</t>
    <phoneticPr fontId="4" type="noConversion"/>
  </si>
  <si>
    <t>监牢</t>
    <phoneticPr fontId="4" type="noConversion"/>
  </si>
  <si>
    <t>大树守卫</t>
    <phoneticPr fontId="4" type="noConversion"/>
  </si>
  <si>
    <t>卡利亚禁卫骑士</t>
    <phoneticPr fontId="4" type="noConversion"/>
  </si>
  <si>
    <t>守墓斗士</t>
    <phoneticPr fontId="4" type="noConversion"/>
  </si>
  <si>
    <t>狮子混种</t>
    <phoneticPr fontId="4" type="noConversion"/>
  </si>
  <si>
    <t>大白金之子</t>
    <phoneticPr fontId="4" type="noConversion"/>
  </si>
  <si>
    <t>诺克斯战士</t>
    <phoneticPr fontId="4" type="noConversion"/>
  </si>
  <si>
    <t>鲜血贵族</t>
    <phoneticPr fontId="4" type="noConversion"/>
  </si>
  <si>
    <t>神皮使徒</t>
    <phoneticPr fontId="4" type="noConversion"/>
  </si>
  <si>
    <t>神皮贵族</t>
    <phoneticPr fontId="4" type="noConversion"/>
  </si>
  <si>
    <t>古龙</t>
    <phoneticPr fontId="4" type="noConversion"/>
  </si>
  <si>
    <t>石肤古王</t>
    <phoneticPr fontId="4" type="noConversion"/>
  </si>
  <si>
    <t>堕落调香师</t>
    <phoneticPr fontId="4" type="noConversion"/>
  </si>
  <si>
    <t>调香师</t>
    <phoneticPr fontId="4" type="noConversion"/>
  </si>
  <si>
    <t>训练场</t>
    <phoneticPr fontId="4" type="noConversion"/>
  </si>
  <si>
    <t>火焰修士</t>
    <phoneticPr fontId="4" type="noConversion"/>
  </si>
  <si>
    <t>火焰主教</t>
    <phoneticPr fontId="4" type="noConversion"/>
  </si>
  <si>
    <t>亚人女王</t>
    <phoneticPr fontId="4" type="noConversion"/>
  </si>
  <si>
    <t>归树看门犬</t>
    <phoneticPr fontId="4" type="noConversion"/>
  </si>
  <si>
    <t>老狮子</t>
    <phoneticPr fontId="4" type="noConversion"/>
  </si>
  <si>
    <t>猎犬骑士</t>
    <phoneticPr fontId="4" type="noConversion"/>
  </si>
  <si>
    <t>葛瑞克骑士</t>
    <phoneticPr fontId="4" type="noConversion"/>
  </si>
  <si>
    <t>罗德尔骑士</t>
    <phoneticPr fontId="4" type="noConversion"/>
  </si>
  <si>
    <t>铁处女</t>
    <phoneticPr fontId="4" type="noConversion"/>
  </si>
  <si>
    <t>米兰达的花</t>
    <phoneticPr fontId="4" type="noConversion"/>
  </si>
  <si>
    <t>飞龙</t>
    <phoneticPr fontId="4" type="noConversion"/>
  </si>
  <si>
    <t>丘陵飞龙</t>
    <phoneticPr fontId="4" type="noConversion"/>
  </si>
  <si>
    <t>蚯蚓脸</t>
    <phoneticPr fontId="4" type="noConversion"/>
  </si>
  <si>
    <t>亚人剑圣</t>
    <phoneticPr fontId="4" type="noConversion"/>
  </si>
  <si>
    <t>黄金河马</t>
    <phoneticPr fontId="4" type="noConversion"/>
  </si>
  <si>
    <t>山妖</t>
    <phoneticPr fontId="4" type="noConversion"/>
  </si>
  <si>
    <t>雪原山妖</t>
    <phoneticPr fontId="4" type="noConversion"/>
  </si>
  <si>
    <t>龙人士兵</t>
    <phoneticPr fontId="4" type="noConversion"/>
  </si>
  <si>
    <t>失乡骑士</t>
    <phoneticPr fontId="4" type="noConversion"/>
  </si>
  <si>
    <t>死亡仪式鸟</t>
    <phoneticPr fontId="4" type="noConversion"/>
  </si>
  <si>
    <t>提比亚的唤声船</t>
    <phoneticPr fontId="4" type="noConversion"/>
  </si>
  <si>
    <t>黄金树化身</t>
    <phoneticPr fontId="4" type="noConversion"/>
  </si>
  <si>
    <t>接肢贵族</t>
    <phoneticPr fontId="4" type="noConversion"/>
  </si>
  <si>
    <t>英雄石像鬼</t>
    <phoneticPr fontId="4" type="noConversion"/>
  </si>
  <si>
    <t>黑剑眷属</t>
    <phoneticPr fontId="4" type="noConversion"/>
  </si>
  <si>
    <t>王室幽魂</t>
    <phoneticPr fontId="4" type="noConversion"/>
  </si>
  <si>
    <t>卢恩熊</t>
    <phoneticPr fontId="4" type="noConversion"/>
  </si>
  <si>
    <t>主城、矿洞</t>
    <phoneticPr fontId="4" type="noConversion"/>
  </si>
  <si>
    <t>黑刀刺客</t>
    <phoneticPr fontId="4" type="noConversion"/>
  </si>
  <si>
    <t>巨鸦</t>
    <phoneticPr fontId="4" type="noConversion"/>
  </si>
  <si>
    <t>熔岩土龙</t>
    <phoneticPr fontId="4" type="noConversion"/>
  </si>
  <si>
    <t>大土龙</t>
    <phoneticPr fontId="4" type="noConversion"/>
  </si>
  <si>
    <t>公爵的夫雷迪亚</t>
    <phoneticPr fontId="4" type="noConversion"/>
  </si>
  <si>
    <t>镕铁恶魔</t>
    <phoneticPr fontId="4" type="noConversion"/>
  </si>
  <si>
    <t>贪食魔龙</t>
    <phoneticPr fontId="4" type="noConversion"/>
  </si>
  <si>
    <t>百足恶魔</t>
    <phoneticPr fontId="4" type="noConversion"/>
  </si>
  <si>
    <t>风暴之王（无名的龙）</t>
    <phoneticPr fontId="4" type="noConversion"/>
  </si>
  <si>
    <t>无名王者</t>
    <phoneticPr fontId="4" type="noConversion"/>
  </si>
  <si>
    <t>冷冽谷的舞娘</t>
    <phoneticPr fontId="4" type="noConversion"/>
  </si>
  <si>
    <t>夜王</t>
    <phoneticPr fontId="4" type="noConversion"/>
  </si>
  <si>
    <t>山顶冰龙</t>
    <phoneticPr fontId="4" type="noConversion"/>
  </si>
  <si>
    <t>免疫</t>
  </si>
  <si>
    <t>弱点</t>
    <phoneticPr fontId="4" type="noConversion"/>
  </si>
  <si>
    <t>抵抗</t>
    <phoneticPr fontId="4" type="noConversion"/>
  </si>
  <si>
    <t>大弱点</t>
    <phoneticPr fontId="4" type="noConversion"/>
  </si>
  <si>
    <t>大抵抗</t>
    <phoneticPr fontId="4" type="noConversion"/>
  </si>
  <si>
    <t>名称</t>
    <phoneticPr fontId="4" type="noConversion"/>
  </si>
  <si>
    <t>训练场人偶士兵</t>
    <phoneticPr fontId="4" type="noConversion"/>
  </si>
  <si>
    <t>矿洞</t>
    <phoneticPr fontId="4" type="noConversion"/>
  </si>
  <si>
    <t>要塞</t>
    <phoneticPr fontId="4" type="noConversion"/>
  </si>
  <si>
    <t>遗迹</t>
    <phoneticPr fontId="4" type="noConversion"/>
  </si>
  <si>
    <t>教堂</t>
    <phoneticPr fontId="4" type="noConversion"/>
  </si>
  <si>
    <t>营地、监牢、主城</t>
    <phoneticPr fontId="4" type="noConversion"/>
  </si>
  <si>
    <t>红狮子骑士</t>
    <phoneticPr fontId="4" type="noConversion"/>
  </si>
  <si>
    <t>营地</t>
    <phoneticPr fontId="4" type="noConversion"/>
  </si>
  <si>
    <t>灵庙骑士</t>
    <phoneticPr fontId="4" type="noConversion"/>
  </si>
  <si>
    <t>战斗法师</t>
    <phoneticPr fontId="4" type="noConversion"/>
  </si>
  <si>
    <t>大神谕使者</t>
    <phoneticPr fontId="4" type="noConversion"/>
  </si>
  <si>
    <t>遗迹、监牢</t>
    <phoneticPr fontId="4" type="noConversion"/>
  </si>
  <si>
    <t>兽人（大）</t>
    <phoneticPr fontId="4" type="noConversion"/>
  </si>
  <si>
    <t>白金之子射手</t>
    <phoneticPr fontId="4" type="noConversion"/>
  </si>
  <si>
    <t>免疫</t>
    <phoneticPr fontId="4" type="noConversion"/>
  </si>
  <si>
    <t>正常</t>
    <phoneticPr fontId="4" type="noConversion"/>
  </si>
  <si>
    <t>要塞、监牢</t>
    <phoneticPr fontId="4" type="noConversion"/>
  </si>
  <si>
    <t>备注</t>
    <phoneticPr fontId="4" type="noConversion"/>
  </si>
  <si>
    <t>要塞、教堂</t>
    <phoneticPr fontId="4" type="noConversion"/>
  </si>
  <si>
    <t>魔像守卫</t>
    <phoneticPr fontId="4" type="noConversion"/>
  </si>
  <si>
    <t>抗性中位数</t>
    <phoneticPr fontId="4" type="noConversion"/>
  </si>
  <si>
    <t>“黑夜野兽”格拉狄乌斯</t>
  </si>
  <si>
    <t>“黑夜之爵”艾德雷</t>
  </si>
  <si>
    <t>“黑夜之智”格诺斯塔</t>
    <phoneticPr fontId="4" type="noConversion"/>
  </si>
  <si>
    <t>“黑夜之魔”利普拉</t>
  </si>
  <si>
    <t>“黑夜光骑士”弗格尔</t>
  </si>
  <si>
    <t>“黑夜雾霾”卡莉果</t>
  </si>
  <si>
    <t>黑夜轮廓</t>
  </si>
  <si>
    <t>“黑夜王”布德奇冥</t>
  </si>
  <si>
    <t>火焰战车</t>
    <phoneticPr fontId="4" type="noConversion"/>
  </si>
  <si>
    <t>营地、火山</t>
    <phoneticPr fontId="4" type="noConversion"/>
  </si>
  <si>
    <t>教堂、火山</t>
    <phoneticPr fontId="4" type="noConversion"/>
  </si>
  <si>
    <t>教堂、隐城</t>
    <phoneticPr fontId="4" type="noConversion"/>
  </si>
  <si>
    <t>祖灵</t>
    <phoneticPr fontId="4" type="noConversion"/>
  </si>
  <si>
    <t>第二夜</t>
    <phoneticPr fontId="4" type="noConversion"/>
  </si>
  <si>
    <t>第一夜、第二夜</t>
    <phoneticPr fontId="4" type="noConversion"/>
  </si>
  <si>
    <t>野外红名、隐城</t>
    <phoneticPr fontId="4" type="noConversion"/>
  </si>
  <si>
    <t>隐城</t>
    <phoneticPr fontId="4" type="noConversion"/>
  </si>
  <si>
    <t>混种（大）</t>
    <phoneticPr fontId="4" type="noConversion"/>
  </si>
  <si>
    <t>可以直接跳到头上处决秒杀</t>
    <phoneticPr fontId="4" type="noConversion"/>
  </si>
  <si>
    <t>无头山妖</t>
    <phoneticPr fontId="4" type="noConversion"/>
  </si>
  <si>
    <t>雪山</t>
    <phoneticPr fontId="4" type="noConversion"/>
  </si>
  <si>
    <t>监牢、第二夜</t>
    <phoneticPr fontId="4" type="noConversion"/>
  </si>
  <si>
    <t>野外蓝名、隐城、第二夜</t>
    <phoneticPr fontId="4" type="noConversion"/>
  </si>
  <si>
    <t>监牢、主城、第二夜</t>
    <phoneticPr fontId="4" type="noConversion"/>
  </si>
  <si>
    <t>火山</t>
    <phoneticPr fontId="4" type="noConversion"/>
  </si>
  <si>
    <t>野外蓝名、火山、第一夜</t>
    <phoneticPr fontId="4" type="noConversion"/>
  </si>
  <si>
    <t>监牢、隐城、第二夜</t>
    <phoneticPr fontId="4" type="noConversion"/>
  </si>
  <si>
    <t>龙装大树守卫</t>
    <phoneticPr fontId="4" type="noConversion"/>
  </si>
  <si>
    <t>要塞、矿洞、雪山、腐败森林</t>
    <phoneticPr fontId="4" type="noConversion"/>
  </si>
  <si>
    <t>遗迹、第一夜</t>
    <phoneticPr fontId="4" type="noConversion"/>
  </si>
  <si>
    <t>第一夜</t>
    <phoneticPr fontId="4" type="noConversion"/>
  </si>
  <si>
    <t>雪山、第一夜</t>
    <phoneticPr fontId="4" type="noConversion"/>
  </si>
  <si>
    <t>火山、第二夜、突发事件</t>
    <phoneticPr fontId="4" type="noConversion"/>
  </si>
  <si>
    <t>第二夜、突发事件</t>
    <phoneticPr fontId="4" type="noConversion"/>
  </si>
  <si>
    <t>夜王、突发事件</t>
    <phoneticPr fontId="4" type="noConversion"/>
  </si>
  <si>
    <t>野外蓝名、第一夜</t>
    <phoneticPr fontId="4" type="noConversion"/>
  </si>
  <si>
    <t>坠星兽物/坠星成兽</t>
    <phoneticPr fontId="4" type="noConversion"/>
  </si>
  <si>
    <t>火山、第一夜</t>
    <phoneticPr fontId="4" type="noConversion"/>
  </si>
  <si>
    <t>火山、雪山</t>
    <phoneticPr fontId="4" type="noConversion"/>
  </si>
  <si>
    <t>营地、野外蓝名、主城</t>
    <phoneticPr fontId="4" type="noConversion"/>
  </si>
  <si>
    <t>战地老将/偏地老将</t>
    <phoneticPr fontId="4" type="noConversion"/>
  </si>
  <si>
    <t>外星生物类</t>
    <phoneticPr fontId="4" type="noConversion"/>
  </si>
  <si>
    <t>发狂南瓜头</t>
    <phoneticPr fontId="4" type="noConversion"/>
  </si>
  <si>
    <t>萨米尔的古英雄</t>
    <phoneticPr fontId="4" type="noConversion"/>
  </si>
  <si>
    <t>癫火山妖</t>
    <phoneticPr fontId="4" type="noConversion"/>
  </si>
  <si>
    <t>王夫的红狼</t>
    <phoneticPr fontId="4" type="noConversion"/>
  </si>
  <si>
    <t>“坚盾”弗堤士</t>
    <phoneticPr fontId="4" type="noConversion"/>
  </si>
  <si>
    <t>“超越之光”亚尼姆斯</t>
    <phoneticPr fontId="4" type="noConversion"/>
  </si>
  <si>
    <t>海伦</t>
    <phoneticPr fontId="4" type="noConversion"/>
  </si>
  <si>
    <t>弗雷德利克</t>
    <phoneticPr fontId="4" type="noConversion"/>
  </si>
  <si>
    <t>塞巴斯蒂安</t>
    <phoneticPr fontId="4" type="noConversion"/>
  </si>
  <si>
    <t>复仇者家人</t>
    <phoneticPr fontId="4" type="noConversion"/>
  </si>
  <si>
    <t>“深海黑夜”玛利斯</t>
    <phoneticPr fontId="4" type="noConversion"/>
  </si>
  <si>
    <t>造成35%伤害和5%削韧</t>
    <phoneticPr fontId="4" type="noConversion"/>
  </si>
  <si>
    <t>造成40%伤害和5%削韧</t>
    <phoneticPr fontId="4" type="noConversion"/>
  </si>
  <si>
    <t>造成15%伤害和5%削韧</t>
    <phoneticPr fontId="4" type="noConversion"/>
  </si>
  <si>
    <t>野外蓝名、遗迹</t>
    <phoneticPr fontId="4" type="noConversion"/>
  </si>
  <si>
    <t>70或100</t>
    <phoneticPr fontId="4" type="noConversion"/>
  </si>
  <si>
    <t>只有隐城的是70韧；可被治疗祷告伤害，并出现硬直</t>
    <phoneticPr fontId="4" type="noConversion"/>
  </si>
  <si>
    <t>遗迹、野外蓝名、主城地下</t>
  </si>
  <si>
    <t>野外蓝名、主城地下</t>
  </si>
  <si>
    <t>野外蓝名、主城地下、火山</t>
  </si>
  <si>
    <t>野外蓝名、主城地下、隐城</t>
  </si>
  <si>
    <t>野外蓝名、主城地下、隐城、第一夜</t>
  </si>
  <si>
    <t>监牢、野外红名、主城楼顶、腐败森林、第二夜</t>
  </si>
  <si>
    <t>野外红名、主城地下、主城楼顶、腐败森林、第一夜</t>
  </si>
  <si>
    <t>野外红名、主城楼顶、腐败森林、第一夜</t>
  </si>
  <si>
    <t>野外红名、主城楼顶、腐败森林</t>
  </si>
  <si>
    <t>野外红名、主城楼顶、腐败森林、第二夜</t>
  </si>
  <si>
    <t>野外红名、主城楼顶、腐败森林、隐城</t>
  </si>
  <si>
    <t>野外红名、主城楼顶、火山、腐败森林</t>
  </si>
  <si>
    <t>火1.25倍削韧</t>
    <phoneticPr fontId="4" type="noConversion"/>
  </si>
  <si>
    <t>发光部位2.5倍伤害，非发光部位0.8倍削韧</t>
    <phoneticPr fontId="4" type="noConversion"/>
  </si>
  <si>
    <t>65或75</t>
    <phoneticPr fontId="4" type="noConversion"/>
  </si>
  <si>
    <t>被打下马之前无限韧性</t>
    <phoneticPr fontId="4" type="noConversion"/>
  </si>
  <si>
    <t>回韧时间极长，只受到0.5倍削韧（等效韧性130）</t>
    <phoneticPr fontId="4" type="noConversion"/>
  </si>
  <si>
    <t>不可处决</t>
    <phoneticPr fontId="4" type="noConversion"/>
  </si>
  <si>
    <t>雷1.25倍削韧，圣1.4倍削韧</t>
    <phoneticPr fontId="4" type="noConversion"/>
  </si>
  <si>
    <t>古龙类；魔、火、雷、圣1.25倍削韧</t>
    <phoneticPr fontId="4" type="noConversion"/>
  </si>
  <si>
    <t>魔、雷、圣1.25倍削韧</t>
    <phoneticPr fontId="4" type="noConversion"/>
  </si>
  <si>
    <t>火、雷1.25倍削韧</t>
    <phoneticPr fontId="4" type="noConversion"/>
  </si>
  <si>
    <t>雷1.25倍削韧</t>
    <phoneticPr fontId="4" type="noConversion"/>
  </si>
  <si>
    <t>圣1.4倍削韧</t>
    <phoneticPr fontId="4" type="noConversion"/>
  </si>
  <si>
    <t>圣1.25倍削韧</t>
    <phoneticPr fontId="4" type="noConversion"/>
  </si>
  <si>
    <t>不属于死诞者类；圣1.4倍削韧</t>
    <phoneticPr fontId="4" type="noConversion"/>
  </si>
  <si>
    <t>被结晶飞刀攻击后进入混乱状态</t>
    <phoneticPr fontId="4" type="noConversion"/>
  </si>
  <si>
    <t>只有打头能造成伤害</t>
    <phoneticPr fontId="4" type="noConversion"/>
  </si>
  <si>
    <t>野外红名、主城楼顶、腐败森林</t>
    <phoneticPr fontId="4" type="noConversion"/>
  </si>
  <si>
    <t>野外红名、主城楼顶、腐败森林、第一夜、第二夜</t>
    <phoneticPr fontId="4" type="noConversion"/>
  </si>
  <si>
    <t>雷1.25倍削韧，头0.2倍伤害</t>
    <phoneticPr fontId="4" type="noConversion"/>
  </si>
  <si>
    <t>古龙类；只受到0.2倍削韧（等效韧性600），头2倍伤害</t>
    <phoneticPr fontId="4" type="noConversion"/>
  </si>
  <si>
    <t>龙类；头1.3倍伤害</t>
    <phoneticPr fontId="4" type="noConversion"/>
  </si>
  <si>
    <t>外星生物类；头1.3倍伤害</t>
    <phoneticPr fontId="4" type="noConversion"/>
  </si>
  <si>
    <t>头1.3倍伤害</t>
    <phoneticPr fontId="4" type="noConversion"/>
  </si>
  <si>
    <t>魔、雷、圣1.25倍削韧，火1.4倍削韧；头1.3倍伤害</t>
    <phoneticPr fontId="4" type="noConversion"/>
  </si>
  <si>
    <t>头2倍伤害</t>
    <phoneticPr fontId="4" type="noConversion"/>
  </si>
  <si>
    <t>火1.25倍削韧；头2倍伤害</t>
    <phoneticPr fontId="4" type="noConversion"/>
  </si>
  <si>
    <t>火1.25倍削韧；头1.5倍伤害</t>
    <phoneticPr fontId="4" type="noConversion"/>
  </si>
  <si>
    <t>不属于龙类；头1.3倍伤害</t>
    <phoneticPr fontId="4" type="noConversion"/>
  </si>
  <si>
    <t>火1.4倍削韧；头1.3倍伤害</t>
    <phoneticPr fontId="4" type="noConversion"/>
  </si>
  <si>
    <t>火、圣1.25倍削韧；头1.3倍伤害</t>
    <phoneticPr fontId="4" type="noConversion"/>
  </si>
  <si>
    <t>外星生物类；头部1.2倍，手0.8倍，身体0.6倍伤害</t>
    <phoneticPr fontId="4" type="noConversion"/>
  </si>
  <si>
    <t>古龙类；头1倍，手、身体、翅膀0.8倍，尾巴0.7倍，后腿0.6倍伤害</t>
    <phoneticPr fontId="4" type="noConversion"/>
  </si>
  <si>
    <t>“接肢”君王</t>
    <phoneticPr fontId="4" type="noConversion"/>
  </si>
  <si>
    <t>圣1.4倍削韧；头1.5倍伤害</t>
    <phoneticPr fontId="4" type="noConversion"/>
  </si>
  <si>
    <t>死诞者类；圣1.4倍削韧；头1.3倍伤害</t>
    <phoneticPr fontId="4" type="noConversion"/>
  </si>
  <si>
    <t>火1.25倍削韧，圣1.4倍削韧；头1.3倍伤害</t>
    <phoneticPr fontId="4" type="noConversion"/>
  </si>
  <si>
    <t>古龙类；头1.3倍伤害</t>
    <phoneticPr fontId="4" type="noConversion"/>
  </si>
  <si>
    <t>雷、圣1.25倍削韧；头1.3倍伤害</t>
    <phoneticPr fontId="4" type="noConversion"/>
  </si>
  <si>
    <t>雷3倍削韧；内部2倍伤害</t>
    <phoneticPr fontId="4" type="noConversion"/>
  </si>
  <si>
    <r>
      <rPr>
        <b/>
        <sz val="16"/>
        <color theme="1"/>
        <rFont val="微软雅黑"/>
        <family val="2"/>
        <charset val="134"/>
      </rPr>
      <t>1.03 常见单位抗性、削韧表</t>
    </r>
    <r>
      <rPr>
        <sz val="16"/>
        <color theme="1"/>
        <rFont val="微软雅黑"/>
        <family val="2"/>
        <charset val="134"/>
      </rPr>
      <t xml:space="preserve">      </t>
    </r>
    <r>
      <rPr>
        <sz val="11"/>
        <color theme="1"/>
        <rFont val="微软雅黑"/>
        <family val="2"/>
        <charset val="134"/>
      </rPr>
      <t>by 虚空蛋黄酱</t>
    </r>
    <r>
      <rPr>
        <sz val="16"/>
        <color theme="1"/>
        <rFont val="微软雅黑"/>
        <family val="2"/>
        <charset val="134"/>
      </rPr>
      <t xml:space="preserve">
</t>
    </r>
    <r>
      <rPr>
        <sz val="10"/>
        <color theme="1"/>
        <rFont val="微软雅黑"/>
        <family val="2"/>
        <charset val="134"/>
      </rPr>
      <t>图中数据为伤害倍率，数字越大说明受到伤害越高。</t>
    </r>
    <phoneticPr fontId="4" type="noConversion"/>
  </si>
  <si>
    <t>可被发狂，发狂抗性112；火1.25倍削韧，圣1.4倍削韧；头1.3倍伤害</t>
    <phoneticPr fontId="4" type="noConversion"/>
  </si>
  <si>
    <t>祖灵之民</t>
  </si>
  <si>
    <t>杜鹃骑士</t>
  </si>
  <si>
    <t>尊腐骑士</t>
  </si>
  <si>
    <t>火焰骑士</t>
  </si>
  <si>
    <t>巨型鳌虾</t>
  </si>
  <si>
    <t>冰寒螯虾</t>
  </si>
  <si>
    <t>血病巨鸦</t>
  </si>
  <si>
    <t>挖石山妖</t>
  </si>
  <si>
    <t>鲜血君王</t>
  </si>
  <si>
    <t>腐败化身</t>
  </si>
  <si>
    <t>恶兆猎人</t>
  </si>
  <si>
    <t>咒剑士</t>
  </si>
  <si>
    <t>死骑士</t>
  </si>
  <si>
    <t>血怪之首</t>
  </si>
  <si>
    <t>蜘蛛蝎群</t>
  </si>
  <si>
    <t>拷问老者</t>
  </si>
  <si>
    <t>拷问官</t>
  </si>
  <si>
    <t>大红熊</t>
  </si>
  <si>
    <t>灵火龙</t>
  </si>
  <si>
    <t>骑士亚尔特留斯</t>
  </si>
  <si>
    <t>哈尔莫妮亚</t>
    <phoneticPr fontId="4" type="noConversion"/>
  </si>
  <si>
    <t>反叛的/冲动的史柴格斯</t>
    <phoneticPr fontId="4" type="noConversion"/>
  </si>
  <si>
    <t>打跪地之前只有打击属性可以正常造成伤害；不会自然恢复韧性（但处决会恢复）</t>
    <phoneticPr fontId="4" type="noConversion"/>
  </si>
  <si>
    <t>大空洞</t>
  </si>
  <si>
    <t>腐败森林、大空洞</t>
    <phoneticPr fontId="4" type="noConversion"/>
  </si>
  <si>
    <t>负伤恶魔/洞底恶魔/恶魔王子</t>
    <phoneticPr fontId="4" type="noConversion"/>
  </si>
  <si>
    <t>火、圣1.25倍削韧</t>
    <phoneticPr fontId="10" type="noConversion"/>
  </si>
  <si>
    <t>火1.25倍削韧</t>
    <phoneticPr fontId="10" type="noConversion"/>
  </si>
  <si>
    <t>雷、圣1.25倍削韧</t>
    <phoneticPr fontId="10" type="noConversion"/>
  </si>
  <si>
    <t>火1.25倍削韧，冻伤1.1倍削韧</t>
    <phoneticPr fontId="10" type="noConversion"/>
  </si>
  <si>
    <t>火1.4倍削韧</t>
    <phoneticPr fontId="10" type="noConversion"/>
  </si>
  <si>
    <t>角战士/神兽战士/神鸟战士</t>
    <phoneticPr fontId="4" type="noConversion"/>
  </si>
  <si>
    <t>龙类；头1.3倍伤害；毒、冻伤1.25倍削韧</t>
    <phoneticPr fontId="4" type="noConversion"/>
  </si>
  <si>
    <t>突发事件慧心虫无限韧性；火、冻伤1.4倍削韧；头1.3倍伤害</t>
    <phoneticPr fontId="4" type="noConversion"/>
  </si>
  <si>
    <t>火、冻伤1.4倍削韧；不可处决</t>
    <phoneticPr fontId="4" type="noConversion"/>
  </si>
  <si>
    <t>神兽舞狮</t>
    <phoneticPr fontId="4" type="noConversion"/>
  </si>
  <si>
    <t>米兰达之花（癫火）</t>
    <phoneticPr fontId="4" type="noConversion"/>
  </si>
  <si>
    <t>冻伤1.1倍削韧</t>
    <phoneticPr fontId="10" type="noConversion"/>
  </si>
  <si>
    <t>冻伤1.25倍削韧</t>
    <phoneticPr fontId="10" type="noConversion"/>
  </si>
  <si>
    <t>米兰达之花（魔力）</t>
    <phoneticPr fontId="4" type="noConversion"/>
  </si>
  <si>
    <t>魔、雷、圣1.25倍削韧</t>
    <phoneticPr fontId="10" type="noConversion"/>
  </si>
  <si>
    <t>死诞者类；圣1.25倍削韧</t>
    <phoneticPr fontId="10" type="noConversion"/>
  </si>
  <si>
    <t>出现地点（暂未更新）</t>
    <phoneticPr fontId="4" type="noConversion"/>
  </si>
  <si>
    <t>哈尔莫妮亚（聚合体）</t>
    <phoneticPr fontId="4" type="noConversion"/>
  </si>
  <si>
    <t>75或100</t>
    <phoneticPr fontId="4" type="noConversion"/>
  </si>
  <si>
    <t>龙飨失乡骑士</t>
    <phoneticPr fontId="4" type="noConversion"/>
  </si>
  <si>
    <t>龙类；雷1.4倍削韧</t>
    <phoneticPr fontId="4" type="noConversion"/>
  </si>
  <si>
    <t>红眼版为75韧</t>
    <phoneticPr fontId="4" type="noConversion"/>
  </si>
  <si>
    <t>单个强化的个体100韧</t>
    <phoneticPr fontId="4" type="noConversion"/>
  </si>
  <si>
    <t>黑暗弃子</t>
    <phoneticPr fontId="4" type="noConversion"/>
  </si>
  <si>
    <t>火1.25倍削韧；毒、腐败1.1倍削韧</t>
    <phoneticPr fontId="4" type="noConversion"/>
  </si>
  <si>
    <t>大螃蟹</t>
    <phoneticPr fontId="4" type="noConversion"/>
  </si>
  <si>
    <t>雷1.4倍削韧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</si>
</sst>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微软雅黑"/>
      <family val="2"/>
      <charset val="134"/>
    </font>
    <font>
      <sz val="1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常规" xfId="0" builtinId="0"/>
    <cellStyle name="常规 2" xfId="1" xr:uid="{22FCC792-A7A1-467F-8FE9-65AAA106D4E4}"/>
  </cellStyles>
  <dxfs count="4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5" tint="-0.24994659260841701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5FFFD"/>
        </patternFill>
      </fill>
    </dxf>
    <dxf>
      <font>
        <color theme="0"/>
      </font>
      <fill>
        <patternFill>
          <bgColor theme="7" tint="-0.499984740745262"/>
        </patternFill>
      </fill>
    </dxf>
  </dxfs>
  <tableStyles count="1" defaultTableStyle="TableStyleMedium2" defaultPivotStyle="PivotStyleLight16">
    <tableStyle name="表样式 1" pivot="0" count="2" xr9:uid="{4D2C081C-9D39-4865-BEF6-73252FE2EF04}">
      <tableStyleElement type="headerRow" dxfId="45"/>
      <tableStyleElement type="secondRowStripe" dxfId="44"/>
    </tableStyle>
  </tableStyles>
  <colors>
    <mruColors>
      <color rgb="FFE5FFFD"/>
      <color rgb="FFE7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358D4-28A6-488E-A912-1CF9A314193A}" name="表1" displayName="表1" ref="A4:P129" headerRowDxfId="43" dataDxfId="41" headerRowBorderDxfId="42" tableBorderDxfId="40" totalsRowBorderDxfId="39">
  <tableColumns count="16">
    <tableColumn id="1" xr3:uid="{3BD99170-AF62-45E3-8A61-2CA37ED17324}" name="名称" totalsRowLabel="汇总" dataDxfId="38" totalsRowDxfId="37"/>
    <tableColumn id="2" xr3:uid="{1B147320-A9ED-4BF9-9697-7E9787E10CA3}" name="普" dataDxfId="36" totalsRowDxfId="35"/>
    <tableColumn id="3" xr3:uid="{044D180D-C204-42E2-BCC4-474FB703E437}" name="打" dataDxfId="34" totalsRowDxfId="33"/>
    <tableColumn id="4" xr3:uid="{66836AE0-B091-4505-A164-EA887074B194}" name="斩" dataDxfId="32" totalsRowDxfId="31"/>
    <tableColumn id="5" xr3:uid="{3933D653-788C-4A0E-84C7-34886B704AB3}" name="刺" dataDxfId="30" totalsRowDxfId="29"/>
    <tableColumn id="6" xr3:uid="{7D7B7F65-9780-4F37-93D6-26AC24E65C0D}" name="魔" dataDxfId="28" totalsRowDxfId="27"/>
    <tableColumn id="7" xr3:uid="{07C1D50B-4F37-47EB-A39C-062CD464095F}" name="火" dataDxfId="26" totalsRowDxfId="25"/>
    <tableColumn id="8" xr3:uid="{2AD73EFE-BB33-410A-9374-FE638E7D9217}" name="雷" dataDxfId="24" totalsRowDxfId="23"/>
    <tableColumn id="9" xr3:uid="{1FA438EE-21B4-403D-9E4B-1F4DE9D9C60B}" name="圣" dataDxfId="22" totalsRowDxfId="21"/>
    <tableColumn id="10" xr3:uid="{3A42A685-CD5D-47B3-9C9D-2ED5641BFE75}" name="韧性" dataDxfId="20" totalsRowDxfId="19"/>
    <tableColumn id="11" xr3:uid="{94B82205-CB5C-4A3D-AD3E-975CDB8C9DA6}" name="血" dataDxfId="18" totalsRowDxfId="17"/>
    <tableColumn id="12" xr3:uid="{FCA3E731-CCCD-4D18-8671-BE79F698982F}" name="毒" dataDxfId="16" totalsRowDxfId="15"/>
    <tableColumn id="13" xr3:uid="{8269C46C-9F0F-4F86-8E8F-E99EC6675EF3}" name="腐败" dataDxfId="14" totalsRowDxfId="13"/>
    <tableColumn id="14" xr3:uid="{EC83F55C-EBC6-4D06-BE11-71A1CFFA3E94}" name="冰" dataDxfId="12" totalsRowDxfId="11"/>
    <tableColumn id="15" xr3:uid="{ADF51A9D-E313-4A22-A38E-943724592DC1}" name="出现地点（暂未更新）" dataDxfId="10" totalsRowDxfId="9"/>
    <tableColumn id="16" xr3:uid="{9C575AD8-351E-49EF-A72D-668D334FC7C1}" name="备注" totalsRowFunction="count" dataDxfId="7" totalsRowDxfId="8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92A2-18FC-49BF-BD4F-3B98C4A92FB2}">
  <sheetPr codeName="Sheet1"/>
  <dimension ref="A1:Q166"/>
  <sheetViews>
    <sheetView tabSelected="1" zoomScale="70" zoomScaleNormal="70" workbookViewId="0">
      <pane xSplit="2" ySplit="4" topLeftCell="C108" activePane="bottomRight" state="frozen"/>
      <selection pane="topRight" activeCell="D1" sqref="D1"/>
      <selection pane="bottomLeft" activeCell="A4" sqref="A4"/>
      <selection pane="bottomRight" activeCell="T111" sqref="T111"/>
    </sheetView>
  </sheetViews>
  <sheetFormatPr defaultRowHeight="16.3" x14ac:dyDescent="0.5"/>
  <cols>
    <col min="1" max="1" width="24.33203125" style="8" customWidth="1"/>
    <col min="2" max="14" width="9.33203125" style="3" customWidth="1"/>
    <col min="15" max="15" width="41.796875" style="3" hidden="1" customWidth="1"/>
    <col min="16" max="16" width="42.19921875" style="8" customWidth="1"/>
    <col min="17" max="17" width="9.06640625" hidden="1" customWidth="1"/>
  </cols>
  <sheetData>
    <row r="1" spans="1:17" ht="40.299999999999997" customHeight="1" x14ac:dyDescent="0.5">
      <c r="A1" s="17" t="s">
        <v>214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7" x14ac:dyDescent="0.5">
      <c r="G2" s="7" t="s">
        <v>81</v>
      </c>
      <c r="H2" s="6" t="s">
        <v>79</v>
      </c>
      <c r="I2" s="2" t="s">
        <v>98</v>
      </c>
      <c r="J2" s="5" t="s">
        <v>78</v>
      </c>
      <c r="K2" s="4" t="s">
        <v>80</v>
      </c>
    </row>
    <row r="4" spans="1:17" x14ac:dyDescent="0.5">
      <c r="A4" s="11" t="s">
        <v>82</v>
      </c>
      <c r="B4" s="12" t="s">
        <v>0</v>
      </c>
      <c r="C4" s="12" t="s">
        <v>2</v>
      </c>
      <c r="D4" s="12" t="s">
        <v>1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10</v>
      </c>
      <c r="L4" s="12" t="s">
        <v>9</v>
      </c>
      <c r="M4" s="12" t="s">
        <v>12</v>
      </c>
      <c r="N4" s="12" t="s">
        <v>11</v>
      </c>
      <c r="O4" s="13" t="s">
        <v>258</v>
      </c>
      <c r="P4" s="14" t="s">
        <v>100</v>
      </c>
      <c r="Q4" s="1" t="s">
        <v>103</v>
      </c>
    </row>
    <row r="5" spans="1:17" x14ac:dyDescent="0.5">
      <c r="A5" s="15" t="s">
        <v>83</v>
      </c>
      <c r="B5" s="2">
        <v>1</v>
      </c>
      <c r="C5" s="2">
        <v>1.1000000000000001</v>
      </c>
      <c r="D5" s="2">
        <v>0.9</v>
      </c>
      <c r="E5" s="2">
        <v>0.9</v>
      </c>
      <c r="F5" s="2">
        <v>1</v>
      </c>
      <c r="G5" s="2">
        <v>1.2</v>
      </c>
      <c r="H5" s="2">
        <v>1</v>
      </c>
      <c r="I5" s="2">
        <v>1</v>
      </c>
      <c r="J5" s="2">
        <v>30</v>
      </c>
      <c r="K5" s="2">
        <v>112</v>
      </c>
      <c r="L5" s="2">
        <v>112</v>
      </c>
      <c r="M5" s="2">
        <v>112</v>
      </c>
      <c r="N5" s="2">
        <v>112</v>
      </c>
      <c r="O5" s="2" t="s">
        <v>35</v>
      </c>
      <c r="P5" s="9" t="s">
        <v>175</v>
      </c>
      <c r="Q5">
        <f>B5</f>
        <v>1</v>
      </c>
    </row>
    <row r="6" spans="1:17" x14ac:dyDescent="0.5">
      <c r="A6" s="15" t="s">
        <v>152</v>
      </c>
      <c r="B6" s="2">
        <v>0.8</v>
      </c>
      <c r="C6" s="2">
        <v>0.72000000000000008</v>
      </c>
      <c r="D6" s="2">
        <v>0.8</v>
      </c>
      <c r="E6" s="2">
        <v>0.8</v>
      </c>
      <c r="F6" s="2">
        <v>0.8</v>
      </c>
      <c r="G6" s="2">
        <v>0.8</v>
      </c>
      <c r="H6" s="2">
        <v>0.8</v>
      </c>
      <c r="I6" s="2">
        <v>0.8</v>
      </c>
      <c r="J6" s="2">
        <v>120</v>
      </c>
      <c r="K6" s="2" t="s">
        <v>77</v>
      </c>
      <c r="L6" s="2" t="s">
        <v>77</v>
      </c>
      <c r="M6" s="2" t="s">
        <v>77</v>
      </c>
      <c r="N6" s="2" t="s">
        <v>77</v>
      </c>
      <c r="O6" s="2" t="s">
        <v>155</v>
      </c>
      <c r="P6" s="9" t="s">
        <v>157</v>
      </c>
      <c r="Q6">
        <f t="shared" ref="Q6:Q8" si="0">B6</f>
        <v>0.8</v>
      </c>
    </row>
    <row r="7" spans="1:17" x14ac:dyDescent="0.5">
      <c r="A7" s="15" t="s">
        <v>153</v>
      </c>
      <c r="B7" s="2">
        <v>0.8</v>
      </c>
      <c r="C7" s="2">
        <v>0.72000000000000008</v>
      </c>
      <c r="D7" s="2">
        <v>0.88000000000000012</v>
      </c>
      <c r="E7" s="2">
        <v>0.8</v>
      </c>
      <c r="F7" s="2">
        <v>0.8</v>
      </c>
      <c r="G7" s="2">
        <v>0.8</v>
      </c>
      <c r="H7" s="2">
        <v>0.96</v>
      </c>
      <c r="I7" s="2">
        <v>0.8</v>
      </c>
      <c r="J7" s="2">
        <v>180</v>
      </c>
      <c r="K7" s="2" t="s">
        <v>77</v>
      </c>
      <c r="L7" s="2" t="s">
        <v>77</v>
      </c>
      <c r="M7" s="2" t="s">
        <v>77</v>
      </c>
      <c r="N7" s="2" t="s">
        <v>77</v>
      </c>
      <c r="O7" s="2" t="s">
        <v>155</v>
      </c>
      <c r="P7" s="9" t="s">
        <v>158</v>
      </c>
      <c r="Q7">
        <f t="shared" si="0"/>
        <v>0.8</v>
      </c>
    </row>
    <row r="8" spans="1:17" x14ac:dyDescent="0.5">
      <c r="A8" s="15" t="s">
        <v>154</v>
      </c>
      <c r="B8" s="2">
        <v>0.72000000000000008</v>
      </c>
      <c r="C8" s="2">
        <v>1.1199999999999999</v>
      </c>
      <c r="D8" s="2">
        <v>0.72000000000000008</v>
      </c>
      <c r="E8" s="2">
        <v>0.52</v>
      </c>
      <c r="F8" s="2">
        <v>0.64000000000000012</v>
      </c>
      <c r="G8" s="2">
        <v>0.64000000000000012</v>
      </c>
      <c r="H8" s="2">
        <v>0.48</v>
      </c>
      <c r="I8" s="2">
        <v>1.1199999999999999</v>
      </c>
      <c r="J8" s="2">
        <v>180</v>
      </c>
      <c r="K8" s="2" t="s">
        <v>77</v>
      </c>
      <c r="L8" s="2" t="s">
        <v>77</v>
      </c>
      <c r="M8" s="2" t="s">
        <v>77</v>
      </c>
      <c r="N8" s="2" t="s">
        <v>77</v>
      </c>
      <c r="O8" s="2" t="s">
        <v>155</v>
      </c>
      <c r="P8" s="9" t="s">
        <v>159</v>
      </c>
      <c r="Q8">
        <f t="shared" si="0"/>
        <v>0.72000000000000008</v>
      </c>
    </row>
    <row r="9" spans="1:17" x14ac:dyDescent="0.5">
      <c r="A9" s="15" t="s">
        <v>44</v>
      </c>
      <c r="B9" s="2">
        <v>0.9</v>
      </c>
      <c r="C9" s="2">
        <v>1</v>
      </c>
      <c r="D9" s="2">
        <v>0.9</v>
      </c>
      <c r="E9" s="2">
        <v>0.9</v>
      </c>
      <c r="F9" s="2">
        <v>1</v>
      </c>
      <c r="G9" s="2">
        <v>0.8</v>
      </c>
      <c r="H9" s="2">
        <v>1.2</v>
      </c>
      <c r="I9" s="2">
        <v>0.8</v>
      </c>
      <c r="J9" s="2">
        <v>80</v>
      </c>
      <c r="K9" s="2" t="s">
        <v>77</v>
      </c>
      <c r="L9" s="2" t="s">
        <v>77</v>
      </c>
      <c r="M9" s="2" t="s">
        <v>77</v>
      </c>
      <c r="N9" s="2" t="s">
        <v>77</v>
      </c>
      <c r="O9" s="2" t="s">
        <v>85</v>
      </c>
      <c r="P9" s="9" t="s">
        <v>213</v>
      </c>
      <c r="Q9">
        <f t="shared" ref="Q9:Q40" si="1">MEDIAN(B9:I9)</f>
        <v>0.9</v>
      </c>
    </row>
    <row r="10" spans="1:17" ht="32.6" x14ac:dyDescent="0.5">
      <c r="A10" s="15" t="s">
        <v>13</v>
      </c>
      <c r="B10" s="2">
        <v>0.9</v>
      </c>
      <c r="C10" s="2">
        <v>0.9</v>
      </c>
      <c r="D10" s="2">
        <v>0.65</v>
      </c>
      <c r="E10" s="2">
        <v>0.65</v>
      </c>
      <c r="F10" s="2">
        <v>0.6</v>
      </c>
      <c r="G10" s="2">
        <v>0.6</v>
      </c>
      <c r="H10" s="2">
        <v>0.6</v>
      </c>
      <c r="I10" s="2">
        <v>0.6</v>
      </c>
      <c r="J10" s="2">
        <v>70</v>
      </c>
      <c r="K10" s="2" t="s">
        <v>77</v>
      </c>
      <c r="L10" s="2">
        <v>252</v>
      </c>
      <c r="M10" s="2">
        <v>252</v>
      </c>
      <c r="N10" s="2">
        <v>252</v>
      </c>
      <c r="O10" s="2" t="s">
        <v>99</v>
      </c>
      <c r="P10" s="9" t="s">
        <v>238</v>
      </c>
      <c r="Q10">
        <f t="shared" si="1"/>
        <v>0.625</v>
      </c>
    </row>
    <row r="11" spans="1:17" x14ac:dyDescent="0.5">
      <c r="A11" s="15" t="s">
        <v>42</v>
      </c>
      <c r="B11" s="2">
        <v>0.9</v>
      </c>
      <c r="C11" s="2">
        <v>0.9</v>
      </c>
      <c r="D11" s="2">
        <v>0.65</v>
      </c>
      <c r="E11" s="2">
        <v>1</v>
      </c>
      <c r="F11" s="2">
        <v>0.8</v>
      </c>
      <c r="G11" s="2">
        <v>0.8</v>
      </c>
      <c r="H11" s="2">
        <v>1</v>
      </c>
      <c r="I11" s="2">
        <v>0.8</v>
      </c>
      <c r="J11" s="2">
        <v>65</v>
      </c>
      <c r="K11" s="2">
        <v>154</v>
      </c>
      <c r="L11" s="2">
        <v>112</v>
      </c>
      <c r="M11" s="2">
        <v>112</v>
      </c>
      <c r="N11" s="2">
        <v>154</v>
      </c>
      <c r="O11" s="2" t="s">
        <v>132</v>
      </c>
      <c r="P11" s="9"/>
      <c r="Q11">
        <f t="shared" si="1"/>
        <v>0.85000000000000009</v>
      </c>
    </row>
    <row r="12" spans="1:17" x14ac:dyDescent="0.5">
      <c r="A12" s="15" t="s">
        <v>102</v>
      </c>
      <c r="B12" s="2">
        <v>0.9</v>
      </c>
      <c r="C12" s="2">
        <v>1</v>
      </c>
      <c r="D12" s="2">
        <v>0.9</v>
      </c>
      <c r="E12" s="2">
        <v>0.9</v>
      </c>
      <c r="F12" s="2">
        <v>0.8</v>
      </c>
      <c r="G12" s="2">
        <v>0.6</v>
      </c>
      <c r="H12" s="2">
        <v>0.6</v>
      </c>
      <c r="I12" s="2">
        <v>0.6</v>
      </c>
      <c r="J12" s="2">
        <v>120</v>
      </c>
      <c r="K12" s="2" t="s">
        <v>77</v>
      </c>
      <c r="L12" s="2" t="s">
        <v>77</v>
      </c>
      <c r="M12" s="2" t="s">
        <v>77</v>
      </c>
      <c r="N12" s="2" t="s">
        <v>77</v>
      </c>
      <c r="O12" s="2" t="s">
        <v>101</v>
      </c>
      <c r="P12" s="9" t="s">
        <v>176</v>
      </c>
      <c r="Q12">
        <f t="shared" si="1"/>
        <v>0.85000000000000009</v>
      </c>
    </row>
    <row r="13" spans="1:17" x14ac:dyDescent="0.5">
      <c r="A13" s="15" t="s">
        <v>93</v>
      </c>
      <c r="B13" s="2">
        <v>1.1000000000000001</v>
      </c>
      <c r="C13" s="2">
        <v>0.9</v>
      </c>
      <c r="D13" s="2">
        <v>1.1000000000000001</v>
      </c>
      <c r="E13" s="2">
        <v>1.1000000000000001</v>
      </c>
      <c r="F13" s="2">
        <v>1</v>
      </c>
      <c r="G13" s="2">
        <v>0.8</v>
      </c>
      <c r="H13" s="2">
        <v>0.8</v>
      </c>
      <c r="I13" s="2">
        <v>0.8</v>
      </c>
      <c r="J13" s="2">
        <v>65</v>
      </c>
      <c r="K13" s="2">
        <v>84</v>
      </c>
      <c r="L13" s="2">
        <v>154</v>
      </c>
      <c r="M13" s="2">
        <v>154</v>
      </c>
      <c r="N13" s="2">
        <v>112</v>
      </c>
      <c r="O13" s="2" t="s">
        <v>87</v>
      </c>
      <c r="P13" s="9"/>
      <c r="Q13">
        <f t="shared" si="1"/>
        <v>0.95</v>
      </c>
    </row>
    <row r="14" spans="1:17" x14ac:dyDescent="0.5">
      <c r="A14" s="15" t="s">
        <v>36</v>
      </c>
      <c r="B14" s="2">
        <v>1</v>
      </c>
      <c r="C14" s="2">
        <v>1</v>
      </c>
      <c r="D14" s="2">
        <v>0.9</v>
      </c>
      <c r="E14" s="2">
        <v>1</v>
      </c>
      <c r="F14" s="2">
        <v>1</v>
      </c>
      <c r="G14" s="2">
        <v>0.6</v>
      </c>
      <c r="H14" s="2">
        <v>0.8</v>
      </c>
      <c r="I14" s="2">
        <v>1.2</v>
      </c>
      <c r="J14" s="2">
        <v>65</v>
      </c>
      <c r="K14" s="2">
        <v>112</v>
      </c>
      <c r="L14" s="2">
        <v>154</v>
      </c>
      <c r="M14" s="2">
        <v>154</v>
      </c>
      <c r="N14" s="2">
        <v>252</v>
      </c>
      <c r="O14" s="2" t="s">
        <v>114</v>
      </c>
      <c r="P14" s="9" t="s">
        <v>187</v>
      </c>
      <c r="Q14">
        <f t="shared" si="1"/>
        <v>1</v>
      </c>
    </row>
    <row r="15" spans="1:17" x14ac:dyDescent="0.5">
      <c r="A15" s="15" t="s">
        <v>91</v>
      </c>
      <c r="B15" s="2">
        <v>0.9</v>
      </c>
      <c r="C15" s="2">
        <v>0.9</v>
      </c>
      <c r="D15" s="2">
        <v>0.65</v>
      </c>
      <c r="E15" s="2">
        <v>1</v>
      </c>
      <c r="F15" s="2">
        <v>0.8</v>
      </c>
      <c r="G15" s="2">
        <v>0.8</v>
      </c>
      <c r="H15" s="2">
        <v>1</v>
      </c>
      <c r="I15" s="2">
        <v>1</v>
      </c>
      <c r="J15" s="2">
        <v>65</v>
      </c>
      <c r="K15" s="2" t="s">
        <v>77</v>
      </c>
      <c r="L15" s="2" t="s">
        <v>77</v>
      </c>
      <c r="M15" s="2" t="s">
        <v>77</v>
      </c>
      <c r="N15" s="2" t="s">
        <v>77</v>
      </c>
      <c r="O15" s="2" t="s">
        <v>115</v>
      </c>
      <c r="P15" s="9"/>
      <c r="Q15">
        <f t="shared" si="1"/>
        <v>0.9</v>
      </c>
    </row>
    <row r="16" spans="1:17" x14ac:dyDescent="0.5">
      <c r="A16" s="15" t="s">
        <v>26</v>
      </c>
      <c r="B16" s="2">
        <v>1.1000000000000001</v>
      </c>
      <c r="C16" s="2">
        <v>0.9</v>
      </c>
      <c r="D16" s="2">
        <v>1.1000000000000001</v>
      </c>
      <c r="E16" s="2">
        <v>1.1000000000000001</v>
      </c>
      <c r="F16" s="2">
        <v>1</v>
      </c>
      <c r="G16" s="2">
        <v>0.8</v>
      </c>
      <c r="H16" s="2">
        <v>1.2</v>
      </c>
      <c r="I16" s="2">
        <v>1.4</v>
      </c>
      <c r="J16" s="2">
        <v>65</v>
      </c>
      <c r="K16" s="2">
        <v>84</v>
      </c>
      <c r="L16" s="2" t="s">
        <v>77</v>
      </c>
      <c r="M16" s="2">
        <v>154</v>
      </c>
      <c r="N16" s="2">
        <v>84</v>
      </c>
      <c r="O16" s="2" t="s">
        <v>86</v>
      </c>
      <c r="P16" s="9" t="s">
        <v>181</v>
      </c>
      <c r="Q16">
        <f t="shared" si="1"/>
        <v>1.1000000000000001</v>
      </c>
    </row>
    <row r="17" spans="1:17" x14ac:dyDescent="0.5">
      <c r="A17" s="15" t="s">
        <v>28</v>
      </c>
      <c r="B17" s="2">
        <v>1</v>
      </c>
      <c r="C17" s="2">
        <v>1</v>
      </c>
      <c r="D17" s="2">
        <v>1.1000000000000001</v>
      </c>
      <c r="E17" s="2">
        <v>1</v>
      </c>
      <c r="F17" s="2">
        <v>0.8</v>
      </c>
      <c r="G17" s="2">
        <v>0.6</v>
      </c>
      <c r="H17" s="2">
        <v>0.8</v>
      </c>
      <c r="I17" s="2">
        <v>0.8</v>
      </c>
      <c r="J17" s="2">
        <v>65</v>
      </c>
      <c r="K17" s="2">
        <v>84</v>
      </c>
      <c r="L17" s="2">
        <v>112</v>
      </c>
      <c r="M17" s="2">
        <v>112</v>
      </c>
      <c r="N17" s="2">
        <v>112</v>
      </c>
      <c r="O17" s="2" t="s">
        <v>86</v>
      </c>
      <c r="P17" s="9"/>
      <c r="Q17">
        <f t="shared" si="1"/>
        <v>0.9</v>
      </c>
    </row>
    <row r="18" spans="1:17" x14ac:dyDescent="0.5">
      <c r="A18" s="15" t="s">
        <v>33</v>
      </c>
      <c r="B18" s="2">
        <v>1</v>
      </c>
      <c r="C18" s="2">
        <v>0.9</v>
      </c>
      <c r="D18" s="2">
        <v>1</v>
      </c>
      <c r="E18" s="2">
        <v>1</v>
      </c>
      <c r="F18" s="2">
        <v>0.8</v>
      </c>
      <c r="G18" s="2">
        <v>0.8</v>
      </c>
      <c r="H18" s="2">
        <v>0.8</v>
      </c>
      <c r="I18" s="2">
        <v>0.8</v>
      </c>
      <c r="J18" s="2">
        <v>65</v>
      </c>
      <c r="K18" s="2">
        <v>84</v>
      </c>
      <c r="L18" s="2">
        <v>252</v>
      </c>
      <c r="M18" s="2">
        <v>252</v>
      </c>
      <c r="N18" s="2">
        <v>112</v>
      </c>
      <c r="O18" s="2" t="s">
        <v>86</v>
      </c>
      <c r="P18" s="9"/>
      <c r="Q18">
        <f t="shared" si="1"/>
        <v>0.85000000000000009</v>
      </c>
    </row>
    <row r="19" spans="1:17" x14ac:dyDescent="0.5">
      <c r="A19" s="15" t="s">
        <v>34</v>
      </c>
      <c r="B19" s="2">
        <v>1</v>
      </c>
      <c r="C19" s="2">
        <v>0.9</v>
      </c>
      <c r="D19" s="2">
        <v>1</v>
      </c>
      <c r="E19" s="2">
        <v>1</v>
      </c>
      <c r="F19" s="2">
        <v>0.6</v>
      </c>
      <c r="G19" s="2">
        <v>0.6</v>
      </c>
      <c r="H19" s="2">
        <v>0.6</v>
      </c>
      <c r="I19" s="2">
        <v>1</v>
      </c>
      <c r="J19" s="2">
        <v>65</v>
      </c>
      <c r="K19" s="2">
        <v>84</v>
      </c>
      <c r="L19" s="2">
        <v>252</v>
      </c>
      <c r="M19" s="2">
        <v>252</v>
      </c>
      <c r="N19" s="2">
        <v>84</v>
      </c>
      <c r="O19" s="2" t="s">
        <v>86</v>
      </c>
      <c r="P19" s="9"/>
      <c r="Q19">
        <f t="shared" si="1"/>
        <v>0.95</v>
      </c>
    </row>
    <row r="20" spans="1:17" x14ac:dyDescent="0.5">
      <c r="A20" s="15" t="s">
        <v>39</v>
      </c>
      <c r="B20" s="2">
        <v>0.65</v>
      </c>
      <c r="C20" s="2">
        <v>0.9</v>
      </c>
      <c r="D20" s="2">
        <v>0.65</v>
      </c>
      <c r="E20" s="2">
        <v>0.65</v>
      </c>
      <c r="F20" s="2">
        <v>0.6</v>
      </c>
      <c r="G20" s="2">
        <v>0.6</v>
      </c>
      <c r="H20" s="2">
        <v>0.6</v>
      </c>
      <c r="I20" s="2">
        <v>0.6</v>
      </c>
      <c r="J20" s="2">
        <v>80</v>
      </c>
      <c r="K20" s="2" t="s">
        <v>77</v>
      </c>
      <c r="L20" s="2" t="s">
        <v>77</v>
      </c>
      <c r="M20" s="2" t="s">
        <v>77</v>
      </c>
      <c r="N20" s="2" t="s">
        <v>77</v>
      </c>
      <c r="O20" s="2" t="s">
        <v>86</v>
      </c>
      <c r="P20" s="9" t="s">
        <v>189</v>
      </c>
      <c r="Q20">
        <f t="shared" si="1"/>
        <v>0.625</v>
      </c>
    </row>
    <row r="21" spans="1:17" x14ac:dyDescent="0.5">
      <c r="A21" s="15" t="s">
        <v>92</v>
      </c>
      <c r="B21" s="2">
        <v>1</v>
      </c>
      <c r="C21" s="2">
        <v>0.9</v>
      </c>
      <c r="D21" s="2">
        <v>1</v>
      </c>
      <c r="E21" s="2">
        <v>1</v>
      </c>
      <c r="F21" s="2">
        <v>0.6</v>
      </c>
      <c r="G21" s="2">
        <v>0.8</v>
      </c>
      <c r="H21" s="2">
        <v>0.8</v>
      </c>
      <c r="I21" s="2">
        <v>1</v>
      </c>
      <c r="J21" s="2">
        <v>65</v>
      </c>
      <c r="K21" s="2">
        <v>112</v>
      </c>
      <c r="L21" s="2">
        <v>84</v>
      </c>
      <c r="M21" s="2">
        <v>84</v>
      </c>
      <c r="N21" s="2">
        <v>112</v>
      </c>
      <c r="O21" s="2" t="s">
        <v>86</v>
      </c>
      <c r="P21" s="9"/>
      <c r="Q21">
        <f t="shared" si="1"/>
        <v>0.95</v>
      </c>
    </row>
    <row r="22" spans="1:17" x14ac:dyDescent="0.5">
      <c r="A22" s="15" t="s">
        <v>62</v>
      </c>
      <c r="B22" s="2">
        <v>1</v>
      </c>
      <c r="C22" s="2">
        <v>1</v>
      </c>
      <c r="D22" s="2">
        <v>1.1000000000000001</v>
      </c>
      <c r="E22" s="2">
        <v>1</v>
      </c>
      <c r="F22" s="2">
        <v>1</v>
      </c>
      <c r="G22" s="2">
        <v>1.2</v>
      </c>
      <c r="H22" s="2">
        <v>1</v>
      </c>
      <c r="I22" s="2">
        <v>1</v>
      </c>
      <c r="J22" s="2">
        <v>80</v>
      </c>
      <c r="K22" s="2">
        <v>252</v>
      </c>
      <c r="L22" s="2">
        <v>154</v>
      </c>
      <c r="M22" s="2">
        <v>154</v>
      </c>
      <c r="N22" s="2">
        <v>252</v>
      </c>
      <c r="O22" s="2" t="s">
        <v>86</v>
      </c>
      <c r="P22" s="9" t="s">
        <v>175</v>
      </c>
      <c r="Q22">
        <f t="shared" si="1"/>
        <v>1</v>
      </c>
    </row>
    <row r="23" spans="1:17" x14ac:dyDescent="0.5">
      <c r="A23" s="15" t="s">
        <v>96</v>
      </c>
      <c r="B23" s="2">
        <v>1</v>
      </c>
      <c r="C23" s="2">
        <v>0.9</v>
      </c>
      <c r="D23" s="2">
        <v>1</v>
      </c>
      <c r="E23" s="2">
        <v>1</v>
      </c>
      <c r="F23" s="2">
        <v>0.8</v>
      </c>
      <c r="G23" s="2">
        <v>1</v>
      </c>
      <c r="H23" s="2">
        <v>1</v>
      </c>
      <c r="I23" s="2">
        <v>1.4</v>
      </c>
      <c r="J23" s="2">
        <v>50</v>
      </c>
      <c r="K23" s="2">
        <v>154</v>
      </c>
      <c r="L23" s="2" t="s">
        <v>97</v>
      </c>
      <c r="M23" s="2">
        <v>112</v>
      </c>
      <c r="N23" s="2">
        <v>252</v>
      </c>
      <c r="O23" s="2" t="s">
        <v>86</v>
      </c>
      <c r="P23" s="9" t="s">
        <v>186</v>
      </c>
      <c r="Q23">
        <f t="shared" si="1"/>
        <v>1</v>
      </c>
    </row>
    <row r="24" spans="1:17" x14ac:dyDescent="0.5">
      <c r="A24" s="15" t="s">
        <v>95</v>
      </c>
      <c r="B24" s="2">
        <v>1</v>
      </c>
      <c r="C24" s="2">
        <v>1</v>
      </c>
      <c r="D24" s="2">
        <v>1.1000000000000001</v>
      </c>
      <c r="E24" s="2">
        <v>1</v>
      </c>
      <c r="F24" s="2">
        <v>1</v>
      </c>
      <c r="G24" s="2">
        <v>1.2</v>
      </c>
      <c r="H24" s="2">
        <v>0.8</v>
      </c>
      <c r="I24" s="2">
        <v>1</v>
      </c>
      <c r="J24" s="2">
        <v>65</v>
      </c>
      <c r="K24" s="2">
        <v>154</v>
      </c>
      <c r="L24" s="2">
        <v>112</v>
      </c>
      <c r="M24" s="2">
        <v>112</v>
      </c>
      <c r="N24" s="2">
        <v>154</v>
      </c>
      <c r="O24" s="2" t="s">
        <v>94</v>
      </c>
      <c r="P24" s="9" t="s">
        <v>175</v>
      </c>
      <c r="Q24">
        <f t="shared" si="1"/>
        <v>1</v>
      </c>
    </row>
    <row r="25" spans="1:17" x14ac:dyDescent="0.5">
      <c r="A25" s="15" t="s">
        <v>48</v>
      </c>
      <c r="B25" s="2">
        <v>1</v>
      </c>
      <c r="C25" s="2">
        <v>1</v>
      </c>
      <c r="D25" s="2">
        <v>1.1000000000000001</v>
      </c>
      <c r="E25" s="2">
        <v>1</v>
      </c>
      <c r="F25" s="2">
        <v>1</v>
      </c>
      <c r="G25" s="2">
        <v>1</v>
      </c>
      <c r="H25" s="2">
        <v>1</v>
      </c>
      <c r="I25" s="2">
        <v>0.6</v>
      </c>
      <c r="J25" s="2">
        <v>80</v>
      </c>
      <c r="K25" s="2">
        <v>154</v>
      </c>
      <c r="L25" s="2">
        <v>154</v>
      </c>
      <c r="M25" s="2">
        <v>154</v>
      </c>
      <c r="N25" s="2">
        <v>154</v>
      </c>
      <c r="O25" s="2" t="s">
        <v>133</v>
      </c>
      <c r="P25" s="9"/>
      <c r="Q25">
        <f t="shared" si="1"/>
        <v>1</v>
      </c>
    </row>
    <row r="26" spans="1:17" x14ac:dyDescent="0.5">
      <c r="A26" s="15" t="s">
        <v>147</v>
      </c>
      <c r="B26" s="2">
        <v>0.9</v>
      </c>
      <c r="C26" s="2">
        <v>0.9</v>
      </c>
      <c r="D26" s="2">
        <v>0.9</v>
      </c>
      <c r="E26" s="2">
        <v>1</v>
      </c>
      <c r="F26" s="2">
        <v>1</v>
      </c>
      <c r="G26" s="2">
        <v>1.2</v>
      </c>
      <c r="H26" s="2">
        <v>1.2</v>
      </c>
      <c r="I26" s="2">
        <v>1</v>
      </c>
      <c r="J26" s="2">
        <v>80</v>
      </c>
      <c r="K26" s="2">
        <v>252</v>
      </c>
      <c r="L26" s="2">
        <v>154</v>
      </c>
      <c r="M26" s="2">
        <v>154</v>
      </c>
      <c r="N26" s="2">
        <v>542</v>
      </c>
      <c r="O26" s="2" t="s">
        <v>163</v>
      </c>
      <c r="P26" s="9" t="s">
        <v>184</v>
      </c>
      <c r="Q26">
        <f t="shared" si="1"/>
        <v>1</v>
      </c>
    </row>
    <row r="27" spans="1:17" x14ac:dyDescent="0.5">
      <c r="A27" s="15" t="s">
        <v>112</v>
      </c>
      <c r="B27" s="2">
        <v>0.9</v>
      </c>
      <c r="C27" s="2">
        <v>1</v>
      </c>
      <c r="D27" s="2">
        <v>0.9</v>
      </c>
      <c r="E27" s="2">
        <v>0.9</v>
      </c>
      <c r="F27" s="2">
        <v>0.8</v>
      </c>
      <c r="G27" s="2">
        <v>0.6</v>
      </c>
      <c r="H27" s="2">
        <v>0.8</v>
      </c>
      <c r="I27" s="2">
        <v>0.8</v>
      </c>
      <c r="J27" s="2">
        <v>240</v>
      </c>
      <c r="K27" s="2">
        <v>154</v>
      </c>
      <c r="L27" s="2">
        <v>252</v>
      </c>
      <c r="M27" s="2">
        <v>252</v>
      </c>
      <c r="N27" s="2">
        <v>252</v>
      </c>
      <c r="O27" s="2" t="s">
        <v>113</v>
      </c>
      <c r="P27" s="9" t="s">
        <v>122</v>
      </c>
      <c r="Q27">
        <f t="shared" si="1"/>
        <v>0.85000000000000009</v>
      </c>
    </row>
    <row r="28" spans="1:17" x14ac:dyDescent="0.5">
      <c r="A28" s="15" t="s">
        <v>148</v>
      </c>
      <c r="B28" s="2">
        <v>1</v>
      </c>
      <c r="C28" s="2">
        <v>1</v>
      </c>
      <c r="D28" s="2">
        <v>1.1000000000000001</v>
      </c>
      <c r="E28" s="2">
        <v>1</v>
      </c>
      <c r="F28" s="2">
        <v>1</v>
      </c>
      <c r="G28" s="2">
        <v>0.8</v>
      </c>
      <c r="H28" s="2">
        <v>1</v>
      </c>
      <c r="I28" s="2">
        <v>1</v>
      </c>
      <c r="J28" s="2">
        <v>65</v>
      </c>
      <c r="K28" s="2">
        <v>112</v>
      </c>
      <c r="L28" s="2">
        <v>112</v>
      </c>
      <c r="M28" s="2">
        <v>112</v>
      </c>
      <c r="N28" s="2">
        <v>154</v>
      </c>
      <c r="O28" s="2" t="s">
        <v>90</v>
      </c>
      <c r="P28" s="9"/>
      <c r="Q28">
        <f t="shared" si="1"/>
        <v>1</v>
      </c>
    </row>
    <row r="29" spans="1:17" x14ac:dyDescent="0.5">
      <c r="A29" s="15" t="s">
        <v>89</v>
      </c>
      <c r="B29" s="2">
        <v>0.9</v>
      </c>
      <c r="C29" s="2">
        <v>0.9</v>
      </c>
      <c r="D29" s="2">
        <v>0.65</v>
      </c>
      <c r="E29" s="2">
        <v>1</v>
      </c>
      <c r="F29" s="2">
        <v>0.8</v>
      </c>
      <c r="G29" s="2">
        <v>0.6</v>
      </c>
      <c r="H29" s="2">
        <v>1</v>
      </c>
      <c r="I29" s="2">
        <v>0.8</v>
      </c>
      <c r="J29" s="2">
        <v>65</v>
      </c>
      <c r="K29" s="2">
        <v>154</v>
      </c>
      <c r="L29" s="2">
        <v>112</v>
      </c>
      <c r="M29" s="2">
        <v>112</v>
      </c>
      <c r="N29" s="2">
        <v>154</v>
      </c>
      <c r="O29" s="2" t="s">
        <v>90</v>
      </c>
      <c r="P29" s="9"/>
      <c r="Q29">
        <f t="shared" si="1"/>
        <v>0.85000000000000009</v>
      </c>
    </row>
    <row r="30" spans="1:17" x14ac:dyDescent="0.5">
      <c r="A30" s="15" t="s">
        <v>43</v>
      </c>
      <c r="B30" s="2">
        <v>0.9</v>
      </c>
      <c r="C30" s="2">
        <v>0.9</v>
      </c>
      <c r="D30" s="2">
        <v>0.65</v>
      </c>
      <c r="E30" s="2">
        <v>1</v>
      </c>
      <c r="F30" s="2">
        <v>0.8</v>
      </c>
      <c r="G30" s="2">
        <v>0.8</v>
      </c>
      <c r="H30" s="2">
        <v>0.6</v>
      </c>
      <c r="I30" s="2">
        <v>0.8</v>
      </c>
      <c r="J30" s="2">
        <v>65</v>
      </c>
      <c r="K30" s="2">
        <v>154</v>
      </c>
      <c r="L30" s="2">
        <v>112</v>
      </c>
      <c r="M30" s="2">
        <v>112</v>
      </c>
      <c r="N30" s="2">
        <v>154</v>
      </c>
      <c r="O30" s="2" t="s">
        <v>90</v>
      </c>
      <c r="P30" s="9"/>
      <c r="Q30">
        <f t="shared" si="1"/>
        <v>0.8</v>
      </c>
    </row>
    <row r="31" spans="1:17" x14ac:dyDescent="0.5">
      <c r="A31" s="15" t="s">
        <v>54</v>
      </c>
      <c r="B31" s="2">
        <v>0.9</v>
      </c>
      <c r="C31" s="2">
        <v>0.9</v>
      </c>
      <c r="D31" s="2">
        <v>0.65</v>
      </c>
      <c r="E31" s="2">
        <v>1</v>
      </c>
      <c r="F31" s="2">
        <v>0.8</v>
      </c>
      <c r="G31" s="2">
        <v>0.8</v>
      </c>
      <c r="H31" s="2">
        <v>1</v>
      </c>
      <c r="I31" s="2">
        <v>0.8</v>
      </c>
      <c r="J31" s="2" t="s">
        <v>177</v>
      </c>
      <c r="K31" s="2">
        <v>154</v>
      </c>
      <c r="L31" s="2">
        <v>112</v>
      </c>
      <c r="M31" s="2">
        <v>112</v>
      </c>
      <c r="N31" s="2">
        <v>154</v>
      </c>
      <c r="O31" s="2" t="s">
        <v>88</v>
      </c>
      <c r="P31" s="9" t="s">
        <v>263</v>
      </c>
      <c r="Q31">
        <f t="shared" si="1"/>
        <v>0.85000000000000009</v>
      </c>
    </row>
    <row r="32" spans="1:17" x14ac:dyDescent="0.5">
      <c r="A32" s="15" t="s">
        <v>261</v>
      </c>
      <c r="B32" s="2">
        <v>0.9</v>
      </c>
      <c r="C32" s="2">
        <v>0.9</v>
      </c>
      <c r="D32" s="2">
        <v>0.65</v>
      </c>
      <c r="E32" s="2">
        <v>1</v>
      </c>
      <c r="F32" s="2">
        <v>0.8</v>
      </c>
      <c r="G32" s="2">
        <v>0.8</v>
      </c>
      <c r="H32" s="2">
        <v>1.4</v>
      </c>
      <c r="I32" s="2">
        <v>0.8</v>
      </c>
      <c r="J32" s="2">
        <v>65</v>
      </c>
      <c r="K32" s="2">
        <v>154</v>
      </c>
      <c r="L32" s="2">
        <v>112</v>
      </c>
      <c r="M32" s="2">
        <v>112</v>
      </c>
      <c r="N32" s="2">
        <v>154</v>
      </c>
      <c r="O32" s="2"/>
      <c r="P32" s="9" t="s">
        <v>262</v>
      </c>
      <c r="Q32">
        <f t="shared" si="1"/>
        <v>0.85000000000000009</v>
      </c>
    </row>
    <row r="33" spans="1:17" x14ac:dyDescent="0.5">
      <c r="A33" s="15" t="s">
        <v>40</v>
      </c>
      <c r="B33" s="2">
        <v>1</v>
      </c>
      <c r="C33" s="2">
        <v>1</v>
      </c>
      <c r="D33" s="2">
        <v>1.1000000000000001</v>
      </c>
      <c r="E33" s="2">
        <v>1</v>
      </c>
      <c r="F33" s="2">
        <v>1</v>
      </c>
      <c r="G33" s="2">
        <v>1.2</v>
      </c>
      <c r="H33" s="2">
        <v>1</v>
      </c>
      <c r="I33" s="2">
        <v>1</v>
      </c>
      <c r="J33" s="2">
        <v>80</v>
      </c>
      <c r="K33" s="2">
        <v>252</v>
      </c>
      <c r="L33" s="2">
        <v>154</v>
      </c>
      <c r="M33" s="2">
        <v>154</v>
      </c>
      <c r="N33" s="2">
        <v>252</v>
      </c>
      <c r="O33" s="2" t="s">
        <v>143</v>
      </c>
      <c r="P33" s="9" t="s">
        <v>175</v>
      </c>
      <c r="Q33">
        <f t="shared" si="1"/>
        <v>1</v>
      </c>
    </row>
    <row r="34" spans="1:17" x14ac:dyDescent="0.5">
      <c r="A34" s="15" t="s">
        <v>146</v>
      </c>
      <c r="B34" s="2">
        <v>1</v>
      </c>
      <c r="C34" s="2">
        <v>0.9</v>
      </c>
      <c r="D34" s="2">
        <v>1.1000000000000001</v>
      </c>
      <c r="E34" s="2">
        <v>1</v>
      </c>
      <c r="F34" s="2">
        <v>1</v>
      </c>
      <c r="G34" s="2">
        <v>1</v>
      </c>
      <c r="H34" s="2">
        <v>1.2</v>
      </c>
      <c r="I34" s="2">
        <v>1</v>
      </c>
      <c r="J34" s="2">
        <v>65</v>
      </c>
      <c r="K34" s="2">
        <v>84</v>
      </c>
      <c r="L34" s="2">
        <v>112</v>
      </c>
      <c r="M34" s="2">
        <v>112</v>
      </c>
      <c r="N34" s="2">
        <v>84</v>
      </c>
      <c r="O34" s="2" t="s">
        <v>84</v>
      </c>
      <c r="P34" s="9" t="s">
        <v>193</v>
      </c>
      <c r="Q34">
        <f t="shared" si="1"/>
        <v>1</v>
      </c>
    </row>
    <row r="35" spans="1:17" x14ac:dyDescent="0.5">
      <c r="A35" s="15" t="s">
        <v>51</v>
      </c>
      <c r="B35" s="2">
        <v>1</v>
      </c>
      <c r="C35" s="2">
        <v>1</v>
      </c>
      <c r="D35" s="2">
        <v>1.1000000000000001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65</v>
      </c>
      <c r="K35" s="2">
        <v>112</v>
      </c>
      <c r="L35" s="2">
        <v>112</v>
      </c>
      <c r="M35" s="2">
        <v>112</v>
      </c>
      <c r="N35" s="2">
        <v>154</v>
      </c>
      <c r="O35" s="2" t="s">
        <v>63</v>
      </c>
      <c r="P35" s="9" t="s">
        <v>199</v>
      </c>
      <c r="Q35">
        <f t="shared" si="1"/>
        <v>1</v>
      </c>
    </row>
    <row r="36" spans="1:17" x14ac:dyDescent="0.5">
      <c r="A36" s="15" t="s">
        <v>20</v>
      </c>
      <c r="B36" s="2">
        <v>1</v>
      </c>
      <c r="C36" s="2">
        <v>1</v>
      </c>
      <c r="D36" s="2">
        <v>1.1000000000000001</v>
      </c>
      <c r="E36" s="2">
        <v>1</v>
      </c>
      <c r="F36" s="2">
        <v>1</v>
      </c>
      <c r="G36" s="2">
        <v>1</v>
      </c>
      <c r="H36" s="2">
        <v>1</v>
      </c>
      <c r="I36" s="2">
        <v>0.8</v>
      </c>
      <c r="J36" s="2">
        <v>65</v>
      </c>
      <c r="K36" s="2">
        <v>112</v>
      </c>
      <c r="L36" s="2">
        <v>112</v>
      </c>
      <c r="M36" s="2">
        <v>112</v>
      </c>
      <c r="N36" s="2">
        <v>112</v>
      </c>
      <c r="O36" s="2" t="s">
        <v>21</v>
      </c>
      <c r="P36" s="9"/>
      <c r="Q36">
        <f t="shared" si="1"/>
        <v>1</v>
      </c>
    </row>
    <row r="37" spans="1:17" x14ac:dyDescent="0.5">
      <c r="A37" s="15" t="s">
        <v>27</v>
      </c>
      <c r="B37" s="2">
        <v>1</v>
      </c>
      <c r="C37" s="2">
        <v>1</v>
      </c>
      <c r="D37" s="2">
        <v>1.1000000000000001</v>
      </c>
      <c r="E37" s="2">
        <v>1</v>
      </c>
      <c r="F37" s="2">
        <v>0.8</v>
      </c>
      <c r="G37" s="2">
        <v>1</v>
      </c>
      <c r="H37" s="2">
        <v>1</v>
      </c>
      <c r="I37" s="2">
        <v>1.2</v>
      </c>
      <c r="J37" s="2">
        <v>65</v>
      </c>
      <c r="K37" s="2">
        <v>154</v>
      </c>
      <c r="L37" s="2">
        <v>154</v>
      </c>
      <c r="M37" s="2">
        <v>154</v>
      </c>
      <c r="N37" s="2">
        <v>154</v>
      </c>
      <c r="O37" s="2" t="s">
        <v>21</v>
      </c>
      <c r="P37" s="9"/>
      <c r="Q37">
        <f t="shared" si="1"/>
        <v>1</v>
      </c>
    </row>
    <row r="38" spans="1:17" x14ac:dyDescent="0.5">
      <c r="A38" s="15" t="s">
        <v>24</v>
      </c>
      <c r="B38" s="2">
        <v>1</v>
      </c>
      <c r="C38" s="2">
        <v>1</v>
      </c>
      <c r="D38" s="2">
        <v>1.1000000000000001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65</v>
      </c>
      <c r="K38" s="2">
        <v>84</v>
      </c>
      <c r="L38" s="2">
        <v>112</v>
      </c>
      <c r="M38" s="2">
        <v>112</v>
      </c>
      <c r="N38" s="2">
        <v>112</v>
      </c>
      <c r="O38" s="2" t="s">
        <v>21</v>
      </c>
      <c r="P38" s="9"/>
      <c r="Q38">
        <f t="shared" si="1"/>
        <v>1</v>
      </c>
    </row>
    <row r="39" spans="1:17" x14ac:dyDescent="0.5">
      <c r="A39" s="15" t="s">
        <v>121</v>
      </c>
      <c r="B39" s="2">
        <v>1</v>
      </c>
      <c r="C39" s="2">
        <v>1</v>
      </c>
      <c r="D39" s="2">
        <v>0.9</v>
      </c>
      <c r="E39" s="2">
        <v>1.1000000000000001</v>
      </c>
      <c r="F39" s="2">
        <v>1</v>
      </c>
      <c r="G39" s="2">
        <v>1.2</v>
      </c>
      <c r="H39" s="2">
        <v>1</v>
      </c>
      <c r="I39" s="2">
        <v>1</v>
      </c>
      <c r="J39" s="2">
        <v>65</v>
      </c>
      <c r="K39" s="2">
        <v>112</v>
      </c>
      <c r="L39" s="2">
        <v>112</v>
      </c>
      <c r="M39" s="2">
        <v>112</v>
      </c>
      <c r="N39" s="2">
        <v>112</v>
      </c>
      <c r="O39" s="2" t="s">
        <v>21</v>
      </c>
      <c r="P39" s="9"/>
      <c r="Q39">
        <f t="shared" si="1"/>
        <v>1</v>
      </c>
    </row>
    <row r="40" spans="1:17" x14ac:dyDescent="0.5">
      <c r="A40" s="15" t="s">
        <v>32</v>
      </c>
      <c r="B40" s="2">
        <v>0.9</v>
      </c>
      <c r="C40" s="2">
        <v>0.9</v>
      </c>
      <c r="D40" s="2">
        <v>0.9</v>
      </c>
      <c r="E40" s="2">
        <v>0.9</v>
      </c>
      <c r="F40" s="2">
        <v>0.8</v>
      </c>
      <c r="G40" s="2">
        <v>0.8</v>
      </c>
      <c r="H40" s="2">
        <v>0.8</v>
      </c>
      <c r="I40" s="2">
        <v>0.8</v>
      </c>
      <c r="J40" s="2">
        <v>65</v>
      </c>
      <c r="K40" s="2">
        <v>154</v>
      </c>
      <c r="L40" s="2">
        <v>154</v>
      </c>
      <c r="M40" s="2">
        <v>154</v>
      </c>
      <c r="N40" s="2" t="s">
        <v>77</v>
      </c>
      <c r="O40" s="2" t="s">
        <v>21</v>
      </c>
      <c r="P40" s="9" t="s">
        <v>145</v>
      </c>
      <c r="Q40">
        <f t="shared" si="1"/>
        <v>0.85000000000000009</v>
      </c>
    </row>
    <row r="41" spans="1:17" x14ac:dyDescent="0.5">
      <c r="A41" s="15" t="s">
        <v>41</v>
      </c>
      <c r="B41" s="2">
        <v>0.9</v>
      </c>
      <c r="C41" s="2">
        <v>0.9</v>
      </c>
      <c r="D41" s="2">
        <v>0.9</v>
      </c>
      <c r="E41" s="2">
        <v>1</v>
      </c>
      <c r="F41" s="2">
        <v>1</v>
      </c>
      <c r="G41" s="2">
        <v>1</v>
      </c>
      <c r="H41" s="2">
        <v>1.2</v>
      </c>
      <c r="I41" s="2">
        <v>1</v>
      </c>
      <c r="J41" s="2">
        <v>65</v>
      </c>
      <c r="K41" s="2">
        <v>154</v>
      </c>
      <c r="L41" s="2">
        <v>154</v>
      </c>
      <c r="M41" s="2">
        <v>154</v>
      </c>
      <c r="N41" s="2">
        <v>154</v>
      </c>
      <c r="O41" s="2" t="s">
        <v>21</v>
      </c>
      <c r="P41" s="9" t="s">
        <v>185</v>
      </c>
      <c r="Q41">
        <f t="shared" ref="Q41:Q72" si="2">MEDIAN(B41:I41)</f>
        <v>1</v>
      </c>
    </row>
    <row r="42" spans="1:17" x14ac:dyDescent="0.5">
      <c r="A42" s="15" t="s">
        <v>18</v>
      </c>
      <c r="B42" s="2">
        <v>0.65</v>
      </c>
      <c r="C42" s="2">
        <v>0.65</v>
      </c>
      <c r="D42" s="2">
        <v>0.65</v>
      </c>
      <c r="E42" s="2">
        <v>0.65</v>
      </c>
      <c r="F42" s="2">
        <v>0.6</v>
      </c>
      <c r="G42" s="2">
        <v>0.8</v>
      </c>
      <c r="H42" s="2">
        <v>0.8</v>
      </c>
      <c r="I42" s="2">
        <v>0.6</v>
      </c>
      <c r="J42" s="2">
        <v>80</v>
      </c>
      <c r="K42" s="2" t="s">
        <v>77</v>
      </c>
      <c r="L42" s="2">
        <v>252</v>
      </c>
      <c r="M42" s="2">
        <v>252</v>
      </c>
      <c r="N42" s="2">
        <v>252</v>
      </c>
      <c r="O42" s="2" t="s">
        <v>127</v>
      </c>
      <c r="P42" s="9"/>
      <c r="Q42">
        <f t="shared" si="2"/>
        <v>0.65</v>
      </c>
    </row>
    <row r="43" spans="1:17" x14ac:dyDescent="0.5">
      <c r="A43" s="15" t="s">
        <v>53</v>
      </c>
      <c r="B43" s="2">
        <v>0.9</v>
      </c>
      <c r="C43" s="2">
        <v>0.9</v>
      </c>
      <c r="D43" s="2">
        <v>1</v>
      </c>
      <c r="E43" s="2">
        <v>0.9</v>
      </c>
      <c r="F43" s="2">
        <v>0.8</v>
      </c>
      <c r="G43" s="2">
        <v>0.8</v>
      </c>
      <c r="H43" s="2">
        <v>0.6</v>
      </c>
      <c r="I43" s="2">
        <v>0.8</v>
      </c>
      <c r="J43" s="2">
        <v>120</v>
      </c>
      <c r="K43" s="2">
        <v>252</v>
      </c>
      <c r="L43" s="2">
        <v>252</v>
      </c>
      <c r="M43" s="2">
        <v>252</v>
      </c>
      <c r="N43" s="2">
        <v>542</v>
      </c>
      <c r="O43" s="2" t="s">
        <v>130</v>
      </c>
      <c r="P43" s="9" t="s">
        <v>202</v>
      </c>
      <c r="Q43">
        <f t="shared" si="2"/>
        <v>0.85000000000000009</v>
      </c>
    </row>
    <row r="44" spans="1:17" x14ac:dyDescent="0.5">
      <c r="A44" s="15" t="s">
        <v>29</v>
      </c>
      <c r="B44" s="2">
        <v>1</v>
      </c>
      <c r="C44" s="2">
        <v>0.9</v>
      </c>
      <c r="D44" s="2">
        <v>1.1000000000000001</v>
      </c>
      <c r="E44" s="2">
        <v>1</v>
      </c>
      <c r="F44" s="2">
        <v>0.8</v>
      </c>
      <c r="G44" s="2">
        <v>0.6</v>
      </c>
      <c r="H44" s="2">
        <v>0.8</v>
      </c>
      <c r="I44" s="2">
        <v>0.6</v>
      </c>
      <c r="J44" s="2">
        <v>80</v>
      </c>
      <c r="K44" s="2">
        <v>112</v>
      </c>
      <c r="L44" s="2">
        <v>154</v>
      </c>
      <c r="M44" s="2">
        <v>154</v>
      </c>
      <c r="N44" s="2">
        <v>154</v>
      </c>
      <c r="O44" s="2" t="s">
        <v>125</v>
      </c>
      <c r="P44" s="9"/>
      <c r="Q44">
        <f t="shared" si="2"/>
        <v>0.85000000000000009</v>
      </c>
    </row>
    <row r="45" spans="1:17" x14ac:dyDescent="0.5">
      <c r="A45" s="15" t="s">
        <v>30</v>
      </c>
      <c r="B45" s="2">
        <v>1</v>
      </c>
      <c r="C45" s="2">
        <v>0.65</v>
      </c>
      <c r="D45" s="2">
        <v>1.1000000000000001</v>
      </c>
      <c r="E45" s="2">
        <v>1</v>
      </c>
      <c r="F45" s="2">
        <v>0.8</v>
      </c>
      <c r="G45" s="2">
        <v>0.6</v>
      </c>
      <c r="H45" s="2">
        <v>0.8</v>
      </c>
      <c r="I45" s="2">
        <v>0.6</v>
      </c>
      <c r="J45" s="2">
        <v>80</v>
      </c>
      <c r="K45" s="2">
        <v>112</v>
      </c>
      <c r="L45" s="2">
        <v>154</v>
      </c>
      <c r="M45" s="2">
        <v>154</v>
      </c>
      <c r="N45" s="2">
        <v>154</v>
      </c>
      <c r="O45" s="2" t="s">
        <v>125</v>
      </c>
      <c r="P45" s="9"/>
      <c r="Q45">
        <f t="shared" si="2"/>
        <v>0.8</v>
      </c>
    </row>
    <row r="46" spans="1:17" ht="32.6" x14ac:dyDescent="0.5">
      <c r="A46" s="15" t="s">
        <v>31</v>
      </c>
      <c r="B46" s="2">
        <v>0.65</v>
      </c>
      <c r="C46" s="2">
        <v>0.65</v>
      </c>
      <c r="D46" s="2">
        <v>0.65</v>
      </c>
      <c r="E46" s="2">
        <v>0.9</v>
      </c>
      <c r="F46" s="2">
        <v>0.6</v>
      </c>
      <c r="G46" s="2">
        <v>0.6</v>
      </c>
      <c r="H46" s="2">
        <v>0.2</v>
      </c>
      <c r="I46" s="2">
        <v>0.6</v>
      </c>
      <c r="J46" s="2">
        <v>120</v>
      </c>
      <c r="K46" s="2">
        <v>252</v>
      </c>
      <c r="L46" s="2">
        <v>252</v>
      </c>
      <c r="M46" s="2">
        <v>252</v>
      </c>
      <c r="N46" s="2">
        <v>252</v>
      </c>
      <c r="O46" s="2" t="s">
        <v>125</v>
      </c>
      <c r="P46" s="9" t="s">
        <v>194</v>
      </c>
      <c r="Q46">
        <f t="shared" si="2"/>
        <v>0.625</v>
      </c>
    </row>
    <row r="47" spans="1:17" x14ac:dyDescent="0.5">
      <c r="A47" s="15" t="s">
        <v>55</v>
      </c>
      <c r="B47" s="2">
        <v>0.9</v>
      </c>
      <c r="C47" s="2">
        <v>1.4</v>
      </c>
      <c r="D47" s="2">
        <v>0.9</v>
      </c>
      <c r="E47" s="2">
        <v>0.65</v>
      </c>
      <c r="F47" s="2">
        <v>0.8</v>
      </c>
      <c r="G47" s="2">
        <v>0.8</v>
      </c>
      <c r="H47" s="2">
        <v>0.6</v>
      </c>
      <c r="I47" s="2">
        <v>1.4</v>
      </c>
      <c r="J47" s="2">
        <v>120</v>
      </c>
      <c r="K47" s="2" t="s">
        <v>77</v>
      </c>
      <c r="L47" s="2" t="s">
        <v>77</v>
      </c>
      <c r="M47" s="2">
        <v>252</v>
      </c>
      <c r="N47" s="2" t="s">
        <v>77</v>
      </c>
      <c r="O47" s="2" t="s">
        <v>168</v>
      </c>
      <c r="P47" s="9" t="s">
        <v>209</v>
      </c>
      <c r="Q47">
        <f t="shared" si="2"/>
        <v>0.85000000000000009</v>
      </c>
    </row>
    <row r="48" spans="1:17" x14ac:dyDescent="0.5">
      <c r="A48" s="15" t="s">
        <v>45</v>
      </c>
      <c r="B48" s="2">
        <v>1</v>
      </c>
      <c r="C48" s="2">
        <v>0.65</v>
      </c>
      <c r="D48" s="2">
        <v>1.4</v>
      </c>
      <c r="E48" s="2">
        <v>1</v>
      </c>
      <c r="F48" s="2">
        <v>1</v>
      </c>
      <c r="G48" s="2">
        <v>1.4</v>
      </c>
      <c r="H48" s="2">
        <v>0.6</v>
      </c>
      <c r="I48" s="2">
        <v>0.6</v>
      </c>
      <c r="J48" s="2">
        <v>100</v>
      </c>
      <c r="K48" s="2">
        <v>252</v>
      </c>
      <c r="L48" s="2">
        <v>542</v>
      </c>
      <c r="M48" s="2">
        <v>252</v>
      </c>
      <c r="N48" s="2">
        <v>63</v>
      </c>
      <c r="O48" s="2" t="s">
        <v>160</v>
      </c>
      <c r="P48" s="9" t="s">
        <v>203</v>
      </c>
      <c r="Q48">
        <f t="shared" si="2"/>
        <v>1</v>
      </c>
    </row>
    <row r="49" spans="1:17" x14ac:dyDescent="0.5">
      <c r="A49" s="15" t="s">
        <v>16</v>
      </c>
      <c r="B49" s="2">
        <v>0.65</v>
      </c>
      <c r="C49" s="2">
        <v>0.65</v>
      </c>
      <c r="D49" s="2">
        <v>0.65</v>
      </c>
      <c r="E49" s="2">
        <v>0.9</v>
      </c>
      <c r="F49" s="2">
        <v>0.6</v>
      </c>
      <c r="G49" s="2">
        <v>0.6</v>
      </c>
      <c r="H49" s="2">
        <v>0.8</v>
      </c>
      <c r="I49" s="2">
        <v>0.6</v>
      </c>
      <c r="J49" s="2">
        <v>80</v>
      </c>
      <c r="K49" s="2">
        <v>252</v>
      </c>
      <c r="L49" s="2">
        <v>154</v>
      </c>
      <c r="M49" s="2">
        <v>154</v>
      </c>
      <c r="N49" s="2">
        <v>252</v>
      </c>
      <c r="O49" s="2" t="s">
        <v>139</v>
      </c>
      <c r="P49" s="9" t="s">
        <v>178</v>
      </c>
      <c r="Q49">
        <f t="shared" si="2"/>
        <v>0.65</v>
      </c>
    </row>
    <row r="50" spans="1:17" x14ac:dyDescent="0.5">
      <c r="A50" s="15" t="s">
        <v>17</v>
      </c>
      <c r="B50" s="2">
        <v>0.9</v>
      </c>
      <c r="C50" s="2">
        <v>0.9</v>
      </c>
      <c r="D50" s="2">
        <v>1</v>
      </c>
      <c r="E50" s="2">
        <v>0.9</v>
      </c>
      <c r="F50" s="2">
        <v>0.8</v>
      </c>
      <c r="G50" s="2">
        <v>0.8</v>
      </c>
      <c r="H50" s="2">
        <v>0.8</v>
      </c>
      <c r="I50" s="2">
        <v>0.8</v>
      </c>
      <c r="J50" s="2">
        <v>65</v>
      </c>
      <c r="K50" s="2">
        <v>154</v>
      </c>
      <c r="L50" s="2">
        <v>154</v>
      </c>
      <c r="M50" s="2">
        <v>154</v>
      </c>
      <c r="N50" s="2">
        <v>154</v>
      </c>
      <c r="O50" s="2" t="s">
        <v>139</v>
      </c>
      <c r="P50" s="9" t="s">
        <v>179</v>
      </c>
      <c r="Q50">
        <f t="shared" si="2"/>
        <v>0.85000000000000009</v>
      </c>
    </row>
    <row r="51" spans="1:17" x14ac:dyDescent="0.5">
      <c r="A51" s="15" t="s">
        <v>25</v>
      </c>
      <c r="B51" s="2">
        <v>0.9</v>
      </c>
      <c r="C51" s="2">
        <v>0.9</v>
      </c>
      <c r="D51" s="2">
        <v>1</v>
      </c>
      <c r="E51" s="2">
        <v>0.9</v>
      </c>
      <c r="F51" s="2">
        <v>0.8</v>
      </c>
      <c r="G51" s="2">
        <v>1</v>
      </c>
      <c r="H51" s="2">
        <v>0.8</v>
      </c>
      <c r="I51" s="2">
        <v>0.8</v>
      </c>
      <c r="J51" s="2">
        <v>80</v>
      </c>
      <c r="K51" s="2">
        <v>154</v>
      </c>
      <c r="L51" s="2">
        <v>154</v>
      </c>
      <c r="M51" s="2">
        <v>154</v>
      </c>
      <c r="N51" s="2">
        <v>154</v>
      </c>
      <c r="O51" s="2" t="s">
        <v>164</v>
      </c>
      <c r="P51" s="9"/>
      <c r="Q51">
        <f t="shared" si="2"/>
        <v>0.9</v>
      </c>
    </row>
    <row r="52" spans="1:17" x14ac:dyDescent="0.5">
      <c r="A52" s="15" t="s">
        <v>149</v>
      </c>
      <c r="B52" s="2">
        <v>1</v>
      </c>
      <c r="C52" s="2">
        <v>1</v>
      </c>
      <c r="D52" s="2">
        <v>1.1000000000000001</v>
      </c>
      <c r="E52" s="2">
        <v>1</v>
      </c>
      <c r="F52" s="2">
        <v>0.6</v>
      </c>
      <c r="G52" s="2">
        <v>0.8</v>
      </c>
      <c r="H52" s="2">
        <v>0.8</v>
      </c>
      <c r="I52" s="2">
        <v>0.8</v>
      </c>
      <c r="J52" s="2">
        <v>120</v>
      </c>
      <c r="K52" s="2">
        <v>252</v>
      </c>
      <c r="L52" s="2">
        <v>154</v>
      </c>
      <c r="M52" s="2">
        <v>154</v>
      </c>
      <c r="N52" s="2">
        <v>252</v>
      </c>
      <c r="O52" s="2" t="s">
        <v>165</v>
      </c>
      <c r="P52" s="9"/>
      <c r="Q52">
        <f t="shared" si="2"/>
        <v>0.9</v>
      </c>
    </row>
    <row r="53" spans="1:17" x14ac:dyDescent="0.5">
      <c r="A53" s="15" t="s">
        <v>58</v>
      </c>
      <c r="B53" s="2">
        <v>1</v>
      </c>
      <c r="C53" s="2">
        <v>1</v>
      </c>
      <c r="D53" s="2">
        <v>1.1000000000000001</v>
      </c>
      <c r="E53" s="2">
        <v>1</v>
      </c>
      <c r="F53" s="2">
        <v>0.8</v>
      </c>
      <c r="G53" s="2">
        <v>0.8</v>
      </c>
      <c r="H53" s="2">
        <v>0.8</v>
      </c>
      <c r="I53" s="2">
        <v>0.8</v>
      </c>
      <c r="J53" s="2">
        <v>80</v>
      </c>
      <c r="K53" s="2">
        <v>112</v>
      </c>
      <c r="L53" s="2">
        <v>154</v>
      </c>
      <c r="M53" s="2">
        <v>154</v>
      </c>
      <c r="N53" s="2">
        <v>112</v>
      </c>
      <c r="O53" s="2" t="s">
        <v>164</v>
      </c>
      <c r="P53" s="9"/>
      <c r="Q53">
        <f t="shared" si="2"/>
        <v>0.9</v>
      </c>
    </row>
    <row r="54" spans="1:17" x14ac:dyDescent="0.5">
      <c r="A54" s="15" t="s">
        <v>64</v>
      </c>
      <c r="B54" s="2">
        <v>0.9</v>
      </c>
      <c r="C54" s="2">
        <v>0.9</v>
      </c>
      <c r="D54" s="2">
        <v>0.9</v>
      </c>
      <c r="E54" s="2">
        <v>0.65</v>
      </c>
      <c r="F54" s="2">
        <v>0.8</v>
      </c>
      <c r="G54" s="2">
        <v>0.8</v>
      </c>
      <c r="H54" s="2">
        <v>0.8</v>
      </c>
      <c r="I54" s="2">
        <v>0.6</v>
      </c>
      <c r="J54" s="2">
        <v>80</v>
      </c>
      <c r="K54" s="2" t="s">
        <v>77</v>
      </c>
      <c r="L54" s="2" t="s">
        <v>77</v>
      </c>
      <c r="M54" s="2" t="s">
        <v>77</v>
      </c>
      <c r="N54" s="2">
        <v>154</v>
      </c>
      <c r="O54" s="2" t="s">
        <v>166</v>
      </c>
      <c r="P54" s="9"/>
      <c r="Q54">
        <f t="shared" si="2"/>
        <v>0.8</v>
      </c>
    </row>
    <row r="55" spans="1:17" x14ac:dyDescent="0.5">
      <c r="A55" s="15" t="s">
        <v>38</v>
      </c>
      <c r="B55" s="2">
        <v>1</v>
      </c>
      <c r="C55" s="2">
        <v>1</v>
      </c>
      <c r="D55" s="2">
        <v>1.1000000000000001</v>
      </c>
      <c r="E55" s="2">
        <v>1</v>
      </c>
      <c r="F55" s="2">
        <v>1</v>
      </c>
      <c r="G55" s="2">
        <v>1.2</v>
      </c>
      <c r="H55" s="2">
        <v>1</v>
      </c>
      <c r="I55" s="2">
        <v>1</v>
      </c>
      <c r="J55" s="2">
        <v>80</v>
      </c>
      <c r="K55" s="2">
        <v>112</v>
      </c>
      <c r="L55" s="2">
        <v>84</v>
      </c>
      <c r="M55" s="2">
        <v>84</v>
      </c>
      <c r="N55" s="2">
        <v>112</v>
      </c>
      <c r="O55" s="2" t="s">
        <v>129</v>
      </c>
      <c r="P55" s="9" t="s">
        <v>266</v>
      </c>
      <c r="Q55">
        <f t="shared" si="2"/>
        <v>1</v>
      </c>
    </row>
    <row r="56" spans="1:17" x14ac:dyDescent="0.5">
      <c r="A56" s="15" t="s">
        <v>50</v>
      </c>
      <c r="B56" s="2">
        <v>1</v>
      </c>
      <c r="C56" s="2">
        <v>1</v>
      </c>
      <c r="D56" s="2">
        <v>1.1000000000000001</v>
      </c>
      <c r="E56" s="2">
        <v>1</v>
      </c>
      <c r="F56" s="2">
        <v>1</v>
      </c>
      <c r="G56" s="2">
        <v>1.2</v>
      </c>
      <c r="H56" s="2">
        <v>1.2</v>
      </c>
      <c r="I56" s="2">
        <v>1</v>
      </c>
      <c r="J56" s="2">
        <v>80</v>
      </c>
      <c r="K56" s="2">
        <v>252</v>
      </c>
      <c r="L56" s="2">
        <v>154</v>
      </c>
      <c r="M56" s="2">
        <v>154</v>
      </c>
      <c r="N56" s="2">
        <v>252</v>
      </c>
      <c r="O56" s="2" t="s">
        <v>126</v>
      </c>
      <c r="P56" s="9" t="s">
        <v>184</v>
      </c>
      <c r="Q56">
        <f t="shared" si="2"/>
        <v>1</v>
      </c>
    </row>
    <row r="57" spans="1:17" x14ac:dyDescent="0.5">
      <c r="A57" s="15" t="s">
        <v>61</v>
      </c>
      <c r="B57" s="2">
        <v>1</v>
      </c>
      <c r="C57" s="2">
        <v>1</v>
      </c>
      <c r="D57" s="2">
        <v>1.1000000000000001</v>
      </c>
      <c r="E57" s="2">
        <v>1</v>
      </c>
      <c r="F57" s="2">
        <v>1</v>
      </c>
      <c r="G57" s="2">
        <v>1</v>
      </c>
      <c r="H57" s="2">
        <v>1</v>
      </c>
      <c r="I57" s="2">
        <v>0.6</v>
      </c>
      <c r="J57" s="2" t="s">
        <v>161</v>
      </c>
      <c r="K57" s="2">
        <v>154</v>
      </c>
      <c r="L57" s="2">
        <v>154</v>
      </c>
      <c r="M57" s="2">
        <v>154</v>
      </c>
      <c r="N57" s="2">
        <v>154</v>
      </c>
      <c r="O57" s="2" t="s">
        <v>167</v>
      </c>
      <c r="P57" s="9" t="s">
        <v>162</v>
      </c>
      <c r="Q57">
        <f t="shared" si="2"/>
        <v>1</v>
      </c>
    </row>
    <row r="58" spans="1:17" x14ac:dyDescent="0.5">
      <c r="A58" s="15" t="s">
        <v>15</v>
      </c>
      <c r="B58" s="2">
        <v>0.65</v>
      </c>
      <c r="C58" s="2">
        <v>0.65</v>
      </c>
      <c r="D58" s="2">
        <v>0.65</v>
      </c>
      <c r="E58" s="2">
        <v>0.9</v>
      </c>
      <c r="F58" s="2">
        <v>0.6</v>
      </c>
      <c r="G58" s="2">
        <v>0.6</v>
      </c>
      <c r="H58" s="2">
        <v>0.8</v>
      </c>
      <c r="I58" s="2">
        <v>0.6</v>
      </c>
      <c r="J58" s="2">
        <v>80</v>
      </c>
      <c r="K58" s="2">
        <v>252</v>
      </c>
      <c r="L58" s="2">
        <v>154</v>
      </c>
      <c r="M58" s="2">
        <v>154</v>
      </c>
      <c r="N58" s="2">
        <v>252</v>
      </c>
      <c r="O58" s="2" t="s">
        <v>169</v>
      </c>
      <c r="P58" s="9"/>
      <c r="Q58">
        <f t="shared" si="2"/>
        <v>0.65</v>
      </c>
    </row>
    <row r="59" spans="1:17" x14ac:dyDescent="0.5">
      <c r="A59" s="15" t="s">
        <v>14</v>
      </c>
      <c r="B59" s="2">
        <v>1</v>
      </c>
      <c r="C59" s="2">
        <v>1</v>
      </c>
      <c r="D59" s="2">
        <v>1</v>
      </c>
      <c r="E59" s="2">
        <v>1</v>
      </c>
      <c r="F59" s="2">
        <v>0.8</v>
      </c>
      <c r="G59" s="2">
        <v>1.2</v>
      </c>
      <c r="H59" s="2">
        <v>0.8</v>
      </c>
      <c r="I59" s="2">
        <v>0.6</v>
      </c>
      <c r="J59" s="2">
        <v>120</v>
      </c>
      <c r="K59" s="2">
        <v>252</v>
      </c>
      <c r="L59" s="2">
        <v>252</v>
      </c>
      <c r="M59" s="2">
        <v>252</v>
      </c>
      <c r="N59" s="2">
        <v>112</v>
      </c>
      <c r="O59" s="2" t="s">
        <v>170</v>
      </c>
      <c r="P59" s="9" t="s">
        <v>201</v>
      </c>
      <c r="Q59">
        <f t="shared" si="2"/>
        <v>1</v>
      </c>
    </row>
    <row r="60" spans="1:17" x14ac:dyDescent="0.5">
      <c r="A60" s="15" t="s">
        <v>116</v>
      </c>
      <c r="B60" s="2">
        <v>1</v>
      </c>
      <c r="C60" s="2">
        <v>1</v>
      </c>
      <c r="D60" s="2">
        <v>1.1000000000000001</v>
      </c>
      <c r="E60" s="2">
        <v>1</v>
      </c>
      <c r="F60" s="2">
        <v>0.8</v>
      </c>
      <c r="G60" s="2">
        <v>1.2</v>
      </c>
      <c r="H60" s="2">
        <v>1</v>
      </c>
      <c r="I60" s="2">
        <v>1.2</v>
      </c>
      <c r="J60" s="2">
        <v>120</v>
      </c>
      <c r="K60" s="2">
        <v>542</v>
      </c>
      <c r="L60" s="2">
        <v>542</v>
      </c>
      <c r="M60" s="2">
        <v>542</v>
      </c>
      <c r="N60" s="2">
        <v>542</v>
      </c>
      <c r="O60" s="2" t="s">
        <v>191</v>
      </c>
      <c r="P60" s="9" t="s">
        <v>204</v>
      </c>
      <c r="Q60">
        <f t="shared" si="2"/>
        <v>1</v>
      </c>
    </row>
    <row r="61" spans="1:17" x14ac:dyDescent="0.5">
      <c r="A61" s="15" t="s">
        <v>22</v>
      </c>
      <c r="B61" s="2">
        <v>0.9</v>
      </c>
      <c r="C61" s="2">
        <v>0.9</v>
      </c>
      <c r="D61" s="2">
        <v>0.65</v>
      </c>
      <c r="E61" s="2">
        <v>0.9</v>
      </c>
      <c r="F61" s="2">
        <v>0.8</v>
      </c>
      <c r="G61" s="2">
        <v>0.6</v>
      </c>
      <c r="H61" s="2">
        <v>1</v>
      </c>
      <c r="I61" s="2">
        <v>0.6</v>
      </c>
      <c r="J61" s="2">
        <v>80</v>
      </c>
      <c r="K61" s="2">
        <v>252</v>
      </c>
      <c r="L61" s="2">
        <v>154</v>
      </c>
      <c r="M61" s="2">
        <v>154</v>
      </c>
      <c r="N61" s="2">
        <v>252</v>
      </c>
      <c r="O61" s="2" t="s">
        <v>192</v>
      </c>
      <c r="P61" s="9" t="s">
        <v>180</v>
      </c>
      <c r="Q61">
        <f t="shared" si="2"/>
        <v>0.85000000000000009</v>
      </c>
    </row>
    <row r="62" spans="1:17" x14ac:dyDescent="0.5">
      <c r="A62" s="15" t="s">
        <v>131</v>
      </c>
      <c r="B62" s="2">
        <v>0.9</v>
      </c>
      <c r="C62" s="2">
        <v>0.9</v>
      </c>
      <c r="D62" s="2">
        <v>0.65</v>
      </c>
      <c r="E62" s="2">
        <v>0.9</v>
      </c>
      <c r="F62" s="2">
        <v>0.8</v>
      </c>
      <c r="G62" s="2">
        <v>0.6</v>
      </c>
      <c r="H62" s="2">
        <v>0.6</v>
      </c>
      <c r="I62" s="2">
        <v>0.8</v>
      </c>
      <c r="J62" s="2">
        <v>80</v>
      </c>
      <c r="K62" s="2">
        <v>252</v>
      </c>
      <c r="L62" s="2">
        <v>154</v>
      </c>
      <c r="M62" s="2">
        <v>154</v>
      </c>
      <c r="N62" s="2">
        <v>252</v>
      </c>
      <c r="O62" s="2" t="s">
        <v>172</v>
      </c>
      <c r="P62" s="9" t="s">
        <v>180</v>
      </c>
      <c r="Q62">
        <f t="shared" si="2"/>
        <v>0.8</v>
      </c>
    </row>
    <row r="63" spans="1:17" x14ac:dyDescent="0.5">
      <c r="A63" s="15" t="s">
        <v>57</v>
      </c>
      <c r="B63" s="2">
        <v>0.9</v>
      </c>
      <c r="C63" s="2">
        <v>1</v>
      </c>
      <c r="D63" s="2">
        <v>0.9</v>
      </c>
      <c r="E63" s="2">
        <v>0.9</v>
      </c>
      <c r="F63" s="2">
        <v>0.8</v>
      </c>
      <c r="G63" s="2">
        <v>1.4</v>
      </c>
      <c r="H63" s="2">
        <v>0.8</v>
      </c>
      <c r="I63" s="2">
        <v>0.6</v>
      </c>
      <c r="J63" s="2">
        <v>120</v>
      </c>
      <c r="K63" s="2" t="s">
        <v>77</v>
      </c>
      <c r="L63" s="2">
        <v>154</v>
      </c>
      <c r="M63" s="2">
        <v>154</v>
      </c>
      <c r="N63" s="2">
        <v>112</v>
      </c>
      <c r="O63" s="2" t="s">
        <v>171</v>
      </c>
      <c r="P63" s="9" t="s">
        <v>203</v>
      </c>
      <c r="Q63">
        <f t="shared" si="2"/>
        <v>0.9</v>
      </c>
    </row>
    <row r="64" spans="1:17" x14ac:dyDescent="0.5">
      <c r="A64" s="15" t="s">
        <v>23</v>
      </c>
      <c r="B64" s="2">
        <v>0.9</v>
      </c>
      <c r="C64" s="2">
        <v>0.9</v>
      </c>
      <c r="D64" s="2">
        <v>0.9</v>
      </c>
      <c r="E64" s="2">
        <v>0.9</v>
      </c>
      <c r="F64" s="2">
        <v>0.6</v>
      </c>
      <c r="G64" s="2">
        <v>0.6</v>
      </c>
      <c r="H64" s="2">
        <v>1</v>
      </c>
      <c r="I64" s="2">
        <v>0.8</v>
      </c>
      <c r="J64" s="2">
        <v>80</v>
      </c>
      <c r="K64" s="2">
        <v>252</v>
      </c>
      <c r="L64" s="2">
        <v>154</v>
      </c>
      <c r="M64" s="2">
        <v>154</v>
      </c>
      <c r="N64" s="2">
        <v>252</v>
      </c>
      <c r="O64" s="2" t="s">
        <v>173</v>
      </c>
      <c r="P64" s="9" t="s">
        <v>180</v>
      </c>
      <c r="Q64">
        <f t="shared" si="2"/>
        <v>0.9</v>
      </c>
    </row>
    <row r="65" spans="1:17" x14ac:dyDescent="0.5">
      <c r="A65" s="15" t="s">
        <v>60</v>
      </c>
      <c r="B65" s="2">
        <v>0.9</v>
      </c>
      <c r="C65" s="2">
        <v>1</v>
      </c>
      <c r="D65" s="2">
        <v>0.65</v>
      </c>
      <c r="E65" s="2">
        <v>0.65</v>
      </c>
      <c r="F65" s="2">
        <v>0.8</v>
      </c>
      <c r="G65" s="2">
        <v>0.6</v>
      </c>
      <c r="H65" s="2">
        <v>0.6</v>
      </c>
      <c r="I65" s="2">
        <v>0.2</v>
      </c>
      <c r="J65" s="2">
        <v>110</v>
      </c>
      <c r="K65" s="2" t="s">
        <v>77</v>
      </c>
      <c r="L65" s="2" t="s">
        <v>77</v>
      </c>
      <c r="M65" s="2" t="s">
        <v>77</v>
      </c>
      <c r="N65" s="2" t="s">
        <v>77</v>
      </c>
      <c r="O65" s="2" t="s">
        <v>171</v>
      </c>
      <c r="P65" s="9" t="s">
        <v>197</v>
      </c>
      <c r="Q65">
        <f t="shared" si="2"/>
        <v>0.65</v>
      </c>
    </row>
    <row r="66" spans="1:17" x14ac:dyDescent="0.5">
      <c r="A66" s="15" t="s">
        <v>66</v>
      </c>
      <c r="B66" s="2">
        <v>0.9</v>
      </c>
      <c r="C66" s="2">
        <v>0.9</v>
      </c>
      <c r="D66" s="2">
        <v>0.65</v>
      </c>
      <c r="E66" s="2">
        <v>0.9</v>
      </c>
      <c r="F66" s="2">
        <v>0.6</v>
      </c>
      <c r="G66" s="2">
        <v>0.2</v>
      </c>
      <c r="H66" s="2">
        <v>0.6</v>
      </c>
      <c r="I66" s="2">
        <v>0.6</v>
      </c>
      <c r="J66" s="2">
        <v>120</v>
      </c>
      <c r="K66" s="2">
        <v>252</v>
      </c>
      <c r="L66" s="2">
        <v>252</v>
      </c>
      <c r="M66" s="2">
        <v>252</v>
      </c>
      <c r="N66" s="2">
        <v>542</v>
      </c>
      <c r="O66" s="2" t="s">
        <v>174</v>
      </c>
      <c r="P66" s="9" t="s">
        <v>195</v>
      </c>
      <c r="Q66">
        <f t="shared" si="2"/>
        <v>0.625</v>
      </c>
    </row>
    <row r="67" spans="1:17" x14ac:dyDescent="0.5">
      <c r="A67" s="15" t="s">
        <v>47</v>
      </c>
      <c r="B67" s="2">
        <v>0.65</v>
      </c>
      <c r="C67" s="2">
        <v>0.65</v>
      </c>
      <c r="D67" s="2">
        <v>0.65</v>
      </c>
      <c r="E67" s="2">
        <v>0.9</v>
      </c>
      <c r="F67" s="2">
        <v>0.6</v>
      </c>
      <c r="G67" s="2">
        <v>0.6</v>
      </c>
      <c r="H67" s="2">
        <v>0.6</v>
      </c>
      <c r="I67" s="2">
        <v>0.6</v>
      </c>
      <c r="J67" s="2">
        <v>120</v>
      </c>
      <c r="K67" s="2">
        <v>252</v>
      </c>
      <c r="L67" s="2">
        <v>252</v>
      </c>
      <c r="M67" s="2">
        <v>252</v>
      </c>
      <c r="N67" s="2">
        <v>252</v>
      </c>
      <c r="O67" s="2" t="s">
        <v>119</v>
      </c>
      <c r="P67" s="9" t="s">
        <v>195</v>
      </c>
      <c r="Q67">
        <f t="shared" si="2"/>
        <v>0.625</v>
      </c>
    </row>
    <row r="68" spans="1:17" x14ac:dyDescent="0.5">
      <c r="A68" s="15" t="s">
        <v>37</v>
      </c>
      <c r="B68" s="2">
        <v>1</v>
      </c>
      <c r="C68" s="2">
        <v>1</v>
      </c>
      <c r="D68" s="2">
        <v>0.9</v>
      </c>
      <c r="E68" s="2">
        <v>1</v>
      </c>
      <c r="F68" s="2">
        <v>1</v>
      </c>
      <c r="G68" s="2">
        <v>0.6</v>
      </c>
      <c r="H68" s="2">
        <v>0.8</v>
      </c>
      <c r="I68" s="2">
        <v>1.2</v>
      </c>
      <c r="J68" s="2">
        <v>80</v>
      </c>
      <c r="K68" s="2">
        <v>112</v>
      </c>
      <c r="L68" s="2">
        <v>154</v>
      </c>
      <c r="M68" s="2">
        <v>154</v>
      </c>
      <c r="N68" s="2">
        <v>252</v>
      </c>
      <c r="O68" s="2" t="s">
        <v>128</v>
      </c>
      <c r="P68" s="9"/>
      <c r="Q68">
        <f t="shared" si="2"/>
        <v>1</v>
      </c>
    </row>
    <row r="69" spans="1:17" x14ac:dyDescent="0.5">
      <c r="A69" s="15" t="s">
        <v>59</v>
      </c>
      <c r="B69" s="2">
        <v>0.9</v>
      </c>
      <c r="C69" s="2">
        <v>1</v>
      </c>
      <c r="D69" s="2">
        <v>0.65</v>
      </c>
      <c r="E69" s="2">
        <v>0.65</v>
      </c>
      <c r="F69" s="2">
        <v>0.8</v>
      </c>
      <c r="G69" s="2">
        <v>0.6</v>
      </c>
      <c r="H69" s="2">
        <v>0.6</v>
      </c>
      <c r="I69" s="2">
        <v>0.6</v>
      </c>
      <c r="J69" s="2">
        <v>110</v>
      </c>
      <c r="K69" s="2" t="s">
        <v>77</v>
      </c>
      <c r="L69" s="2" t="s">
        <v>77</v>
      </c>
      <c r="M69" s="2" t="s">
        <v>77</v>
      </c>
      <c r="N69" s="2" t="s">
        <v>77</v>
      </c>
      <c r="O69" s="2" t="s">
        <v>141</v>
      </c>
      <c r="P69" s="9" t="s">
        <v>197</v>
      </c>
      <c r="Q69">
        <f t="shared" si="2"/>
        <v>0.65</v>
      </c>
    </row>
    <row r="70" spans="1:17" x14ac:dyDescent="0.5">
      <c r="A70" s="15" t="s">
        <v>46</v>
      </c>
      <c r="B70" s="2">
        <v>0.65</v>
      </c>
      <c r="C70" s="2">
        <v>0.65</v>
      </c>
      <c r="D70" s="2">
        <v>0.65</v>
      </c>
      <c r="E70" s="2">
        <v>0.9</v>
      </c>
      <c r="F70" s="2">
        <v>0.6</v>
      </c>
      <c r="G70" s="2">
        <v>0.6</v>
      </c>
      <c r="H70" s="2">
        <v>0.6</v>
      </c>
      <c r="I70" s="2">
        <v>0.6</v>
      </c>
      <c r="J70" s="2">
        <v>80</v>
      </c>
      <c r="K70" s="2">
        <v>252</v>
      </c>
      <c r="L70" s="2">
        <v>252</v>
      </c>
      <c r="M70" s="2">
        <v>252</v>
      </c>
      <c r="N70" s="2">
        <v>252</v>
      </c>
      <c r="O70" s="2" t="s">
        <v>142</v>
      </c>
      <c r="P70" s="9" t="s">
        <v>195</v>
      </c>
      <c r="Q70">
        <f t="shared" si="2"/>
        <v>0.625</v>
      </c>
    </row>
    <row r="71" spans="1:17" x14ac:dyDescent="0.5">
      <c r="A71" s="15" t="s">
        <v>140</v>
      </c>
      <c r="B71" s="2">
        <v>0.65</v>
      </c>
      <c r="C71" s="2">
        <v>0.65</v>
      </c>
      <c r="D71" s="2">
        <v>0.65</v>
      </c>
      <c r="E71" s="2">
        <v>0.65</v>
      </c>
      <c r="F71" s="2">
        <v>0.8</v>
      </c>
      <c r="G71" s="2">
        <v>0.8</v>
      </c>
      <c r="H71" s="2">
        <v>0.8</v>
      </c>
      <c r="I71" s="2">
        <v>0.8</v>
      </c>
      <c r="J71" s="2">
        <v>100</v>
      </c>
      <c r="K71" s="2" t="s">
        <v>77</v>
      </c>
      <c r="L71" s="2">
        <v>252</v>
      </c>
      <c r="M71" s="2">
        <v>252</v>
      </c>
      <c r="N71" s="2" t="s">
        <v>77</v>
      </c>
      <c r="O71" s="2" t="s">
        <v>136</v>
      </c>
      <c r="P71" s="9" t="s">
        <v>196</v>
      </c>
      <c r="Q71">
        <f t="shared" si="2"/>
        <v>0.72500000000000009</v>
      </c>
    </row>
    <row r="72" spans="1:17" x14ac:dyDescent="0.5">
      <c r="A72" s="15" t="s">
        <v>52</v>
      </c>
      <c r="B72" s="2">
        <v>1</v>
      </c>
      <c r="C72" s="2">
        <v>0.9</v>
      </c>
      <c r="D72" s="2">
        <v>1.1000000000000001</v>
      </c>
      <c r="E72" s="2">
        <v>1</v>
      </c>
      <c r="F72" s="2">
        <v>1</v>
      </c>
      <c r="G72" s="2">
        <v>1.2</v>
      </c>
      <c r="H72" s="2">
        <v>1</v>
      </c>
      <c r="I72" s="2">
        <v>1</v>
      </c>
      <c r="J72" s="2">
        <v>65</v>
      </c>
      <c r="K72" s="2">
        <v>112</v>
      </c>
      <c r="L72" s="2">
        <v>112</v>
      </c>
      <c r="M72" s="2">
        <v>112</v>
      </c>
      <c r="N72" s="2">
        <v>542</v>
      </c>
      <c r="O72" s="2" t="s">
        <v>124</v>
      </c>
      <c r="P72" s="9" t="s">
        <v>200</v>
      </c>
      <c r="Q72">
        <f t="shared" si="2"/>
        <v>1</v>
      </c>
    </row>
    <row r="73" spans="1:17" x14ac:dyDescent="0.5">
      <c r="A73" s="15" t="s">
        <v>65</v>
      </c>
      <c r="B73" s="2">
        <v>1.1000000000000001</v>
      </c>
      <c r="C73" s="2">
        <v>1.1000000000000001</v>
      </c>
      <c r="D73" s="2">
        <v>1.4</v>
      </c>
      <c r="E73" s="2">
        <v>1.1000000000000001</v>
      </c>
      <c r="F73" s="2">
        <v>1.2</v>
      </c>
      <c r="G73" s="2">
        <v>1.4</v>
      </c>
      <c r="H73" s="2">
        <v>1.2</v>
      </c>
      <c r="I73" s="2">
        <v>1.2</v>
      </c>
      <c r="J73" s="2">
        <v>65</v>
      </c>
      <c r="K73" s="2">
        <v>112</v>
      </c>
      <c r="L73" s="2">
        <v>112</v>
      </c>
      <c r="M73" s="2">
        <v>112</v>
      </c>
      <c r="N73" s="2">
        <v>112</v>
      </c>
      <c r="O73" s="2" t="s">
        <v>124</v>
      </c>
      <c r="P73" s="9" t="s">
        <v>198</v>
      </c>
      <c r="Q73">
        <f t="shared" ref="Q73:Q129" si="3">MEDIAN(B73:I73)</f>
        <v>1.2</v>
      </c>
    </row>
    <row r="74" spans="1:17" x14ac:dyDescent="0.5">
      <c r="A74" s="15" t="s">
        <v>49</v>
      </c>
      <c r="B74" s="2">
        <v>1</v>
      </c>
      <c r="C74" s="2">
        <v>1</v>
      </c>
      <c r="D74" s="2">
        <v>1.2</v>
      </c>
      <c r="E74" s="2">
        <v>1</v>
      </c>
      <c r="F74" s="2">
        <v>1</v>
      </c>
      <c r="G74" s="2">
        <v>1.2</v>
      </c>
      <c r="H74" s="2">
        <v>1</v>
      </c>
      <c r="I74" s="2">
        <v>1</v>
      </c>
      <c r="J74" s="2">
        <v>65</v>
      </c>
      <c r="K74" s="2">
        <v>112</v>
      </c>
      <c r="L74" s="2">
        <v>84</v>
      </c>
      <c r="M74" s="2">
        <v>84</v>
      </c>
      <c r="N74" s="2">
        <v>112</v>
      </c>
      <c r="O74" s="2" t="s">
        <v>135</v>
      </c>
      <c r="P74" s="9" t="s">
        <v>266</v>
      </c>
      <c r="Q74">
        <f t="shared" si="3"/>
        <v>1</v>
      </c>
    </row>
    <row r="75" spans="1:17" x14ac:dyDescent="0.5">
      <c r="A75" s="15" t="s">
        <v>76</v>
      </c>
      <c r="B75" s="2">
        <v>0.65</v>
      </c>
      <c r="C75" s="2">
        <v>0.9</v>
      </c>
      <c r="D75" s="2">
        <v>0.2</v>
      </c>
      <c r="E75" s="2">
        <v>0.2</v>
      </c>
      <c r="F75" s="2">
        <v>0.6</v>
      </c>
      <c r="G75" s="2">
        <v>0.6</v>
      </c>
      <c r="H75" s="2">
        <v>0.6</v>
      </c>
      <c r="I75" s="2">
        <v>0.6</v>
      </c>
      <c r="J75" s="2">
        <v>120</v>
      </c>
      <c r="K75" s="2">
        <v>252</v>
      </c>
      <c r="L75" s="2">
        <v>252</v>
      </c>
      <c r="M75" s="2">
        <v>252</v>
      </c>
      <c r="N75" s="2">
        <v>542</v>
      </c>
      <c r="O75" s="2" t="s">
        <v>124</v>
      </c>
      <c r="P75" s="9" t="s">
        <v>195</v>
      </c>
      <c r="Q75">
        <f t="shared" si="3"/>
        <v>0.6</v>
      </c>
    </row>
    <row r="76" spans="1:17" x14ac:dyDescent="0.5">
      <c r="A76" s="15" t="s">
        <v>123</v>
      </c>
      <c r="B76" s="2">
        <v>1</v>
      </c>
      <c r="C76" s="2">
        <v>0.9</v>
      </c>
      <c r="D76" s="2">
        <v>1.1000000000000001</v>
      </c>
      <c r="E76" s="2">
        <v>1</v>
      </c>
      <c r="F76" s="2">
        <v>1</v>
      </c>
      <c r="G76" s="2">
        <v>1.2</v>
      </c>
      <c r="H76" s="2">
        <v>1</v>
      </c>
      <c r="I76" s="2">
        <v>1</v>
      </c>
      <c r="J76" s="2">
        <v>65</v>
      </c>
      <c r="K76" s="2" t="s">
        <v>77</v>
      </c>
      <c r="L76" s="2" t="s">
        <v>77</v>
      </c>
      <c r="M76" s="2" t="s">
        <v>77</v>
      </c>
      <c r="N76" s="2" t="s">
        <v>77</v>
      </c>
      <c r="O76" s="2" t="s">
        <v>120</v>
      </c>
      <c r="P76" s="9"/>
      <c r="Q76">
        <f t="shared" si="3"/>
        <v>1</v>
      </c>
    </row>
    <row r="77" spans="1:17" x14ac:dyDescent="0.5">
      <c r="A77" s="15" t="s">
        <v>265</v>
      </c>
      <c r="B77" s="2">
        <v>0.9</v>
      </c>
      <c r="C77" s="2">
        <v>0.9</v>
      </c>
      <c r="D77" s="2">
        <v>0.9</v>
      </c>
      <c r="E77" s="2">
        <v>0.9</v>
      </c>
      <c r="F77" s="2">
        <v>0.6</v>
      </c>
      <c r="G77" s="2">
        <v>0.6</v>
      </c>
      <c r="H77" s="2">
        <v>0.6</v>
      </c>
      <c r="I77" s="2">
        <v>0.6</v>
      </c>
      <c r="J77" s="2">
        <v>120</v>
      </c>
      <c r="K77" s="2">
        <v>252</v>
      </c>
      <c r="L77" s="2">
        <v>252</v>
      </c>
      <c r="M77" s="2">
        <v>252</v>
      </c>
      <c r="N77" s="2" t="s">
        <v>77</v>
      </c>
      <c r="O77" s="2" t="s">
        <v>120</v>
      </c>
      <c r="P77" s="9" t="s">
        <v>205</v>
      </c>
      <c r="Q77">
        <f t="shared" si="3"/>
        <v>0.75</v>
      </c>
    </row>
    <row r="78" spans="1:17" x14ac:dyDescent="0.5">
      <c r="A78" s="15" t="s">
        <v>56</v>
      </c>
      <c r="B78" s="2">
        <v>0.9</v>
      </c>
      <c r="C78" s="2">
        <v>1.4</v>
      </c>
      <c r="D78" s="2">
        <v>0.9</v>
      </c>
      <c r="E78" s="2">
        <v>0.65</v>
      </c>
      <c r="F78" s="2">
        <v>0.8</v>
      </c>
      <c r="G78" s="2">
        <v>0.8</v>
      </c>
      <c r="H78" s="2">
        <v>0.6</v>
      </c>
      <c r="I78" s="2">
        <v>1.4</v>
      </c>
      <c r="J78" s="2">
        <v>80</v>
      </c>
      <c r="K78" s="2" t="s">
        <v>77</v>
      </c>
      <c r="L78" s="2" t="s">
        <v>77</v>
      </c>
      <c r="M78" s="2">
        <v>154</v>
      </c>
      <c r="N78" s="2" t="s">
        <v>77</v>
      </c>
      <c r="O78" s="2" t="s">
        <v>134</v>
      </c>
      <c r="P78" s="9" t="s">
        <v>188</v>
      </c>
      <c r="Q78">
        <f t="shared" si="3"/>
        <v>0.85000000000000009</v>
      </c>
    </row>
    <row r="79" spans="1:17" x14ac:dyDescent="0.5">
      <c r="A79" s="19" t="s">
        <v>216</v>
      </c>
      <c r="B79" s="2">
        <v>1.1000000000000001</v>
      </c>
      <c r="C79" s="2">
        <v>1</v>
      </c>
      <c r="D79" s="2">
        <v>1.1000000000000001</v>
      </c>
      <c r="E79" s="2">
        <v>1.1000000000000001</v>
      </c>
      <c r="F79" s="2">
        <v>1</v>
      </c>
      <c r="G79" s="2">
        <v>1</v>
      </c>
      <c r="H79" s="2">
        <v>1</v>
      </c>
      <c r="I79" s="2">
        <v>1</v>
      </c>
      <c r="J79" s="2">
        <v>40</v>
      </c>
      <c r="K79" s="2">
        <v>252</v>
      </c>
      <c r="L79" s="2">
        <v>252</v>
      </c>
      <c r="M79" s="2">
        <v>252</v>
      </c>
      <c r="N79" s="2">
        <v>542</v>
      </c>
      <c r="O79" s="2" t="s">
        <v>240</v>
      </c>
      <c r="P79" s="21"/>
      <c r="Q79">
        <f>MEDIAN(B79:I79)</f>
        <v>1</v>
      </c>
    </row>
    <row r="80" spans="1:17" x14ac:dyDescent="0.5">
      <c r="A80" s="19" t="s">
        <v>217</v>
      </c>
      <c r="B80" s="2">
        <v>0.9</v>
      </c>
      <c r="C80" s="2">
        <v>0.9</v>
      </c>
      <c r="D80" s="2">
        <v>0.65</v>
      </c>
      <c r="E80" s="2">
        <v>1</v>
      </c>
      <c r="F80" s="2">
        <v>0.6</v>
      </c>
      <c r="G80" s="2">
        <v>0.8</v>
      </c>
      <c r="H80" s="2">
        <v>1</v>
      </c>
      <c r="I80" s="2">
        <v>0.8</v>
      </c>
      <c r="J80" s="2">
        <v>65</v>
      </c>
      <c r="K80" s="2">
        <v>154</v>
      </c>
      <c r="L80" s="2">
        <v>112</v>
      </c>
      <c r="M80" s="2">
        <v>112</v>
      </c>
      <c r="N80" s="2">
        <v>154</v>
      </c>
      <c r="O80" s="2" t="s">
        <v>239</v>
      </c>
      <c r="P80" s="21"/>
      <c r="Q80">
        <f>MEDIAN(B80:I80)</f>
        <v>0.85000000000000009</v>
      </c>
    </row>
    <row r="81" spans="1:17" x14ac:dyDescent="0.5">
      <c r="A81" s="19" t="s">
        <v>218</v>
      </c>
      <c r="B81" s="2">
        <v>0.9</v>
      </c>
      <c r="C81" s="2">
        <v>0.9</v>
      </c>
      <c r="D81" s="2">
        <v>0.65</v>
      </c>
      <c r="E81" s="2">
        <v>1</v>
      </c>
      <c r="F81" s="2">
        <v>0.8</v>
      </c>
      <c r="G81" s="2">
        <v>1.2</v>
      </c>
      <c r="H81" s="2">
        <v>1</v>
      </c>
      <c r="I81" s="2">
        <v>0.6</v>
      </c>
      <c r="J81" s="2">
        <v>65</v>
      </c>
      <c r="K81" s="2">
        <v>154</v>
      </c>
      <c r="L81" s="2">
        <v>252</v>
      </c>
      <c r="M81" s="2">
        <v>252</v>
      </c>
      <c r="N81" s="2">
        <v>154</v>
      </c>
      <c r="O81" s="2" t="s">
        <v>239</v>
      </c>
      <c r="P81" s="21" t="s">
        <v>243</v>
      </c>
      <c r="Q81">
        <f>MEDIAN(B81:I81)</f>
        <v>0.9</v>
      </c>
    </row>
    <row r="82" spans="1:17" x14ac:dyDescent="0.5">
      <c r="A82" s="19" t="s">
        <v>219</v>
      </c>
      <c r="B82" s="2">
        <v>0.8</v>
      </c>
      <c r="C82" s="2">
        <v>0.8</v>
      </c>
      <c r="D82" s="2">
        <v>0.6</v>
      </c>
      <c r="E82" s="2">
        <v>1</v>
      </c>
      <c r="F82" s="2">
        <v>0.8</v>
      </c>
      <c r="G82" s="2">
        <v>0.6</v>
      </c>
      <c r="H82" s="2">
        <v>1</v>
      </c>
      <c r="I82" s="2">
        <v>1</v>
      </c>
      <c r="J82" s="2">
        <v>65</v>
      </c>
      <c r="K82" s="2">
        <v>154</v>
      </c>
      <c r="L82" s="2">
        <v>112</v>
      </c>
      <c r="M82" s="2">
        <v>112</v>
      </c>
      <c r="N82" s="2">
        <v>154</v>
      </c>
      <c r="O82" s="2" t="s">
        <v>239</v>
      </c>
      <c r="P82" s="21"/>
      <c r="Q82">
        <f>MEDIAN(B82:I82)</f>
        <v>0.8</v>
      </c>
    </row>
    <row r="83" spans="1:17" x14ac:dyDescent="0.5">
      <c r="A83" s="19" t="s">
        <v>220</v>
      </c>
      <c r="B83" s="2">
        <v>0.9</v>
      </c>
      <c r="C83" s="2">
        <v>1</v>
      </c>
      <c r="D83" s="2">
        <v>0.65</v>
      </c>
      <c r="E83" s="2">
        <v>0.9</v>
      </c>
      <c r="F83" s="2">
        <v>0.8</v>
      </c>
      <c r="G83" s="2">
        <v>0.8</v>
      </c>
      <c r="H83" s="2">
        <v>0.8</v>
      </c>
      <c r="I83" s="2">
        <v>0.8</v>
      </c>
      <c r="J83" s="2">
        <v>80</v>
      </c>
      <c r="K83" s="2">
        <v>154</v>
      </c>
      <c r="L83" s="2">
        <v>154</v>
      </c>
      <c r="M83" s="2">
        <v>154</v>
      </c>
      <c r="N83" s="2">
        <v>84</v>
      </c>
      <c r="O83" s="2" t="s">
        <v>239</v>
      </c>
      <c r="P83" s="21" t="s">
        <v>253</v>
      </c>
      <c r="Q83">
        <f>MEDIAN(B83:I83)</f>
        <v>0.8</v>
      </c>
    </row>
    <row r="84" spans="1:17" x14ac:dyDescent="0.5">
      <c r="A84" s="19" t="s">
        <v>221</v>
      </c>
      <c r="B84" s="2">
        <v>0.9</v>
      </c>
      <c r="C84" s="2">
        <v>1</v>
      </c>
      <c r="D84" s="2">
        <v>0.65</v>
      </c>
      <c r="E84" s="2">
        <v>0.65</v>
      </c>
      <c r="F84" s="2">
        <v>0.8</v>
      </c>
      <c r="G84" s="2">
        <v>1.2</v>
      </c>
      <c r="H84" s="2">
        <v>1</v>
      </c>
      <c r="I84" s="2">
        <v>0.8</v>
      </c>
      <c r="J84" s="2">
        <v>80</v>
      </c>
      <c r="K84" s="2">
        <v>154</v>
      </c>
      <c r="L84" s="2">
        <v>154</v>
      </c>
      <c r="M84" s="2">
        <v>154</v>
      </c>
      <c r="N84" s="2">
        <v>999</v>
      </c>
      <c r="O84" s="2" t="s">
        <v>239</v>
      </c>
      <c r="P84" s="21" t="s">
        <v>243</v>
      </c>
      <c r="Q84">
        <f>MEDIAN(B84:I84)</f>
        <v>0.85000000000000009</v>
      </c>
    </row>
    <row r="85" spans="1:17" x14ac:dyDescent="0.5">
      <c r="A85" s="19" t="s">
        <v>252</v>
      </c>
      <c r="B85" s="2">
        <v>1</v>
      </c>
      <c r="C85" s="2">
        <v>0.65</v>
      </c>
      <c r="D85" s="2">
        <v>1.4</v>
      </c>
      <c r="E85" s="2">
        <v>1</v>
      </c>
      <c r="F85" s="2">
        <v>1</v>
      </c>
      <c r="G85" s="2">
        <v>0.6</v>
      </c>
      <c r="H85" s="2">
        <v>0.6</v>
      </c>
      <c r="I85" s="2">
        <v>0.6</v>
      </c>
      <c r="J85" s="2">
        <v>100</v>
      </c>
      <c r="K85" s="2">
        <v>252</v>
      </c>
      <c r="L85" s="2">
        <v>542</v>
      </c>
      <c r="M85" s="2">
        <v>252</v>
      </c>
      <c r="N85" s="2">
        <v>63</v>
      </c>
      <c r="O85" s="2" t="s">
        <v>239</v>
      </c>
      <c r="P85" s="21" t="s">
        <v>254</v>
      </c>
      <c r="Q85">
        <f>MEDIAN(B85:I85)</f>
        <v>0.82499999999999996</v>
      </c>
    </row>
    <row r="86" spans="1:17" x14ac:dyDescent="0.5">
      <c r="A86" s="19" t="s">
        <v>255</v>
      </c>
      <c r="B86" s="2">
        <v>1</v>
      </c>
      <c r="C86" s="2">
        <v>0.65</v>
      </c>
      <c r="D86" s="2">
        <v>1.4</v>
      </c>
      <c r="E86" s="2">
        <v>1</v>
      </c>
      <c r="F86" s="2">
        <v>0.6</v>
      </c>
      <c r="G86" s="2">
        <v>1</v>
      </c>
      <c r="H86" s="2">
        <v>1</v>
      </c>
      <c r="I86" s="2">
        <v>0.6</v>
      </c>
      <c r="J86" s="2">
        <v>100</v>
      </c>
      <c r="K86" s="2">
        <v>252</v>
      </c>
      <c r="L86" s="2">
        <v>542</v>
      </c>
      <c r="M86" s="2">
        <v>252</v>
      </c>
      <c r="N86" s="2">
        <v>63</v>
      </c>
      <c r="O86" s="2" t="s">
        <v>239</v>
      </c>
      <c r="P86" s="21" t="s">
        <v>254</v>
      </c>
      <c r="Q86">
        <f>MEDIAN(B86:I86)</f>
        <v>1</v>
      </c>
    </row>
    <row r="87" spans="1:17" x14ac:dyDescent="0.5">
      <c r="A87" s="19" t="s">
        <v>267</v>
      </c>
      <c r="B87" s="2">
        <v>0.65</v>
      </c>
      <c r="C87" s="2">
        <v>1</v>
      </c>
      <c r="D87" s="2">
        <v>0.65</v>
      </c>
      <c r="E87" s="2">
        <v>0.65</v>
      </c>
      <c r="F87" s="2">
        <v>0.8</v>
      </c>
      <c r="G87" s="2">
        <v>0.8</v>
      </c>
      <c r="H87" s="2">
        <v>0.8</v>
      </c>
      <c r="I87" s="2">
        <v>0.8</v>
      </c>
      <c r="J87" s="2">
        <v>80</v>
      </c>
      <c r="K87" s="2">
        <v>154</v>
      </c>
      <c r="L87" s="2">
        <v>154</v>
      </c>
      <c r="M87" s="2">
        <v>154</v>
      </c>
      <c r="N87" s="2">
        <v>84</v>
      </c>
      <c r="O87" s="2"/>
      <c r="P87" s="9" t="s">
        <v>253</v>
      </c>
      <c r="Q87">
        <f>MEDIAN(B87:I87)</f>
        <v>0.8</v>
      </c>
    </row>
    <row r="88" spans="1:17" x14ac:dyDescent="0.5">
      <c r="A88" s="19" t="s">
        <v>222</v>
      </c>
      <c r="B88" s="2">
        <v>1</v>
      </c>
      <c r="C88" s="2">
        <v>1.1000000000000001</v>
      </c>
      <c r="D88" s="2">
        <v>1.4</v>
      </c>
      <c r="E88" s="2">
        <v>1.1000000000000001</v>
      </c>
      <c r="F88" s="2">
        <v>1.2</v>
      </c>
      <c r="G88" s="2">
        <v>1</v>
      </c>
      <c r="H88" s="2">
        <v>1.2</v>
      </c>
      <c r="I88" s="2">
        <v>1.2</v>
      </c>
      <c r="J88" s="2">
        <v>65</v>
      </c>
      <c r="K88" s="2">
        <v>84</v>
      </c>
      <c r="L88" s="2">
        <v>112</v>
      </c>
      <c r="M88" s="2">
        <v>112</v>
      </c>
      <c r="N88" s="2">
        <v>112</v>
      </c>
      <c r="O88" s="2"/>
      <c r="P88" s="21" t="s">
        <v>256</v>
      </c>
      <c r="Q88">
        <f>MEDIAN(B88:I88)</f>
        <v>1.1499999999999999</v>
      </c>
    </row>
    <row r="89" spans="1:17" x14ac:dyDescent="0.5">
      <c r="A89" s="19" t="s">
        <v>223</v>
      </c>
      <c r="B89" s="2">
        <v>1</v>
      </c>
      <c r="C89" s="2">
        <v>1</v>
      </c>
      <c r="D89" s="2">
        <v>1.1000000000000001</v>
      </c>
      <c r="E89" s="2">
        <v>1</v>
      </c>
      <c r="F89" s="2">
        <v>1</v>
      </c>
      <c r="G89" s="2">
        <v>0.8</v>
      </c>
      <c r="H89" s="2">
        <v>1</v>
      </c>
      <c r="I89" s="2">
        <v>1</v>
      </c>
      <c r="J89" s="2">
        <v>65</v>
      </c>
      <c r="K89" s="2">
        <v>112</v>
      </c>
      <c r="L89" s="2">
        <v>112</v>
      </c>
      <c r="M89" s="2">
        <v>112</v>
      </c>
      <c r="N89" s="2">
        <v>154</v>
      </c>
      <c r="O89" s="2"/>
      <c r="P89" s="21"/>
      <c r="Q89">
        <f>MEDIAN(B89:I89)</f>
        <v>1</v>
      </c>
    </row>
    <row r="90" spans="1:17" x14ac:dyDescent="0.5">
      <c r="A90" s="19" t="s">
        <v>224</v>
      </c>
      <c r="B90" s="2">
        <v>0.9</v>
      </c>
      <c r="C90" s="2">
        <v>0.9</v>
      </c>
      <c r="D90" s="2">
        <v>0.9</v>
      </c>
      <c r="E90" s="2">
        <v>0.9</v>
      </c>
      <c r="F90" s="2">
        <v>0.6</v>
      </c>
      <c r="G90" s="2">
        <v>0.2</v>
      </c>
      <c r="H90" s="2">
        <v>0.6</v>
      </c>
      <c r="I90" s="2">
        <v>0.6</v>
      </c>
      <c r="J90" s="2">
        <v>110</v>
      </c>
      <c r="K90" s="2">
        <v>112</v>
      </c>
      <c r="L90" s="2">
        <v>252</v>
      </c>
      <c r="M90" s="2">
        <v>252</v>
      </c>
      <c r="N90" s="2">
        <v>252</v>
      </c>
      <c r="O90" s="2"/>
      <c r="P90" s="21"/>
      <c r="Q90">
        <f>MEDIAN(B90:I90)</f>
        <v>0.75</v>
      </c>
    </row>
    <row r="91" spans="1:17" x14ac:dyDescent="0.5">
      <c r="A91" s="19" t="s">
        <v>225</v>
      </c>
      <c r="B91" s="2">
        <v>0.9</v>
      </c>
      <c r="C91" s="2">
        <v>1</v>
      </c>
      <c r="D91" s="2">
        <v>0.9</v>
      </c>
      <c r="E91" s="2">
        <v>0.8</v>
      </c>
      <c r="F91" s="2">
        <v>0.8</v>
      </c>
      <c r="G91" s="2">
        <v>2</v>
      </c>
      <c r="H91" s="2">
        <v>0.8</v>
      </c>
      <c r="I91" s="2">
        <v>0.6</v>
      </c>
      <c r="J91" s="2">
        <v>120</v>
      </c>
      <c r="K91" s="2">
        <v>999</v>
      </c>
      <c r="L91" s="2">
        <v>999</v>
      </c>
      <c r="M91" s="2">
        <v>999</v>
      </c>
      <c r="N91" s="2">
        <v>154</v>
      </c>
      <c r="O91" s="2"/>
      <c r="P91" s="21" t="s">
        <v>246</v>
      </c>
      <c r="Q91">
        <f>MEDIAN(B91:I91)</f>
        <v>0.85000000000000009</v>
      </c>
    </row>
    <row r="92" spans="1:17" x14ac:dyDescent="0.5">
      <c r="A92" s="19" t="s">
        <v>226</v>
      </c>
      <c r="B92" s="2">
        <v>1</v>
      </c>
      <c r="C92" s="2">
        <v>1</v>
      </c>
      <c r="D92" s="2">
        <v>1</v>
      </c>
      <c r="E92" s="2">
        <v>1</v>
      </c>
      <c r="F92" s="2">
        <v>0.8</v>
      </c>
      <c r="G92" s="2">
        <v>0.6</v>
      </c>
      <c r="H92" s="2">
        <v>0.8</v>
      </c>
      <c r="I92" s="2">
        <v>0.8</v>
      </c>
      <c r="J92" s="2">
        <v>75</v>
      </c>
      <c r="K92" s="2">
        <v>112</v>
      </c>
      <c r="L92" s="2">
        <v>252</v>
      </c>
      <c r="M92" s="2">
        <v>252</v>
      </c>
      <c r="N92" s="2">
        <v>112</v>
      </c>
      <c r="O92" s="2"/>
      <c r="P92" s="21"/>
      <c r="Q92">
        <f>MEDIAN(B92:I92)</f>
        <v>0.9</v>
      </c>
    </row>
    <row r="93" spans="1:17" x14ac:dyDescent="0.5">
      <c r="A93" s="19" t="s">
        <v>227</v>
      </c>
      <c r="B93" s="2">
        <v>1</v>
      </c>
      <c r="C93" s="2">
        <v>1</v>
      </c>
      <c r="D93" s="2">
        <v>1.2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85</v>
      </c>
      <c r="K93" s="2">
        <v>112</v>
      </c>
      <c r="L93" s="2">
        <v>112</v>
      </c>
      <c r="M93" s="2">
        <v>112</v>
      </c>
      <c r="N93" s="2">
        <v>112</v>
      </c>
      <c r="O93" s="2"/>
      <c r="P93" s="21"/>
      <c r="Q93">
        <f>MEDIAN(B93:I93)</f>
        <v>1</v>
      </c>
    </row>
    <row r="94" spans="1:17" x14ac:dyDescent="0.5">
      <c r="A94" s="20" t="s">
        <v>228</v>
      </c>
      <c r="B94" s="10">
        <v>0.6</v>
      </c>
      <c r="C94" s="10">
        <v>0.6</v>
      </c>
      <c r="D94" s="10">
        <v>0.6</v>
      </c>
      <c r="E94" s="10">
        <v>0.8</v>
      </c>
      <c r="F94" s="10">
        <v>0.6</v>
      </c>
      <c r="G94" s="10">
        <v>0.8</v>
      </c>
      <c r="H94" s="10">
        <v>0.6</v>
      </c>
      <c r="I94" s="10">
        <v>1</v>
      </c>
      <c r="J94" s="10">
        <v>80</v>
      </c>
      <c r="K94" s="10">
        <v>999</v>
      </c>
      <c r="L94" s="10">
        <v>252</v>
      </c>
      <c r="M94" s="10">
        <v>252</v>
      </c>
      <c r="N94" s="10">
        <v>252</v>
      </c>
      <c r="O94" s="10"/>
      <c r="P94" s="21"/>
      <c r="Q94">
        <f>MEDIAN(B94:I94)</f>
        <v>0.6</v>
      </c>
    </row>
    <row r="95" spans="1:17" x14ac:dyDescent="0.5">
      <c r="A95" s="19" t="s">
        <v>229</v>
      </c>
      <c r="B95" s="2">
        <v>1</v>
      </c>
      <c r="C95" s="2">
        <v>1</v>
      </c>
      <c r="D95" s="2">
        <v>1.2</v>
      </c>
      <c r="E95" s="2">
        <v>1</v>
      </c>
      <c r="F95" s="2">
        <v>0.8</v>
      </c>
      <c r="G95" s="2">
        <v>0.6</v>
      </c>
      <c r="H95" s="2">
        <v>0.8</v>
      </c>
      <c r="I95" s="2">
        <v>0.8</v>
      </c>
      <c r="J95" s="2">
        <v>80</v>
      </c>
      <c r="K95" s="2">
        <v>252</v>
      </c>
      <c r="L95" s="2">
        <v>112</v>
      </c>
      <c r="M95" s="2">
        <v>112</v>
      </c>
      <c r="N95" s="2">
        <v>112</v>
      </c>
      <c r="O95" s="2"/>
      <c r="P95" s="21"/>
      <c r="Q95">
        <f>MEDIAN(B95:I95)</f>
        <v>0.9</v>
      </c>
    </row>
    <row r="96" spans="1:17" x14ac:dyDescent="0.5">
      <c r="A96" s="19" t="s">
        <v>230</v>
      </c>
      <c r="B96" s="2">
        <v>0.75</v>
      </c>
      <c r="C96" s="2">
        <v>1</v>
      </c>
      <c r="D96" s="2">
        <v>0.55000000000000004</v>
      </c>
      <c r="E96" s="2">
        <v>0.75</v>
      </c>
      <c r="F96" s="2">
        <v>0.8</v>
      </c>
      <c r="G96" s="2">
        <v>1.2</v>
      </c>
      <c r="H96" s="2">
        <v>0.8</v>
      </c>
      <c r="I96" s="2">
        <v>0.8</v>
      </c>
      <c r="J96" s="2">
        <v>65</v>
      </c>
      <c r="K96" s="2">
        <v>154</v>
      </c>
      <c r="L96" s="2">
        <v>252</v>
      </c>
      <c r="M96" s="2">
        <v>252</v>
      </c>
      <c r="N96" s="2">
        <v>84</v>
      </c>
      <c r="O96" s="2"/>
      <c r="P96" s="21" t="s">
        <v>245</v>
      </c>
      <c r="Q96">
        <f>MEDIAN(B96:I96)</f>
        <v>0.8</v>
      </c>
    </row>
    <row r="97" spans="1:17" x14ac:dyDescent="0.5">
      <c r="A97" s="19" t="s">
        <v>247</v>
      </c>
      <c r="B97" s="2">
        <v>0.6</v>
      </c>
      <c r="C97" s="2">
        <v>0.6</v>
      </c>
      <c r="D97" s="2">
        <v>0.6</v>
      </c>
      <c r="E97" s="2">
        <v>1</v>
      </c>
      <c r="F97" s="2">
        <v>0.8</v>
      </c>
      <c r="G97" s="2">
        <v>0.8</v>
      </c>
      <c r="H97" s="2">
        <v>0.8</v>
      </c>
      <c r="I97" s="2">
        <v>1</v>
      </c>
      <c r="J97" s="2">
        <v>80</v>
      </c>
      <c r="K97" s="2">
        <v>112</v>
      </c>
      <c r="L97" s="2">
        <v>112</v>
      </c>
      <c r="M97" s="2">
        <v>112</v>
      </c>
      <c r="N97" s="2">
        <v>112</v>
      </c>
      <c r="O97" s="2"/>
      <c r="P97" s="21"/>
      <c r="Q97">
        <f>MEDIAN(B97:I97)</f>
        <v>0.8</v>
      </c>
    </row>
    <row r="98" spans="1:17" x14ac:dyDescent="0.5">
      <c r="A98" s="19" t="s">
        <v>251</v>
      </c>
      <c r="B98" s="2">
        <v>0.7</v>
      </c>
      <c r="C98" s="2">
        <v>0.7</v>
      </c>
      <c r="D98" s="2">
        <v>0.8</v>
      </c>
      <c r="E98" s="2">
        <v>1</v>
      </c>
      <c r="F98" s="2">
        <v>0.6</v>
      </c>
      <c r="G98" s="2">
        <v>1</v>
      </c>
      <c r="H98" s="2">
        <v>0.6</v>
      </c>
      <c r="I98" s="2">
        <v>0.6</v>
      </c>
      <c r="J98" s="2">
        <v>120</v>
      </c>
      <c r="K98" s="2">
        <v>112</v>
      </c>
      <c r="L98" s="2">
        <v>154</v>
      </c>
      <c r="M98" s="2">
        <v>112</v>
      </c>
      <c r="N98" s="2">
        <v>252</v>
      </c>
      <c r="O98" s="2"/>
      <c r="P98" s="9"/>
      <c r="Q98">
        <f>MEDIAN(B98:I98)</f>
        <v>0.7</v>
      </c>
    </row>
    <row r="99" spans="1:17" x14ac:dyDescent="0.5">
      <c r="A99" s="19" t="s">
        <v>232</v>
      </c>
      <c r="B99" s="2">
        <v>0.9</v>
      </c>
      <c r="C99" s="2">
        <v>0.75</v>
      </c>
      <c r="D99" s="2">
        <v>1.2</v>
      </c>
      <c r="E99" s="2">
        <v>1</v>
      </c>
      <c r="F99" s="2">
        <v>0.9</v>
      </c>
      <c r="G99" s="2">
        <v>1.2</v>
      </c>
      <c r="H99" s="2">
        <v>0.9</v>
      </c>
      <c r="I99" s="2">
        <v>0.9</v>
      </c>
      <c r="J99" s="2">
        <v>80</v>
      </c>
      <c r="K99" s="2">
        <v>112</v>
      </c>
      <c r="L99" s="2">
        <v>112</v>
      </c>
      <c r="M99" s="2">
        <v>112</v>
      </c>
      <c r="N99" s="2">
        <v>112</v>
      </c>
      <c r="O99" s="2"/>
      <c r="P99" s="21" t="s">
        <v>243</v>
      </c>
      <c r="Q99">
        <f>MEDIAN(B99:I99)</f>
        <v>0.9</v>
      </c>
    </row>
    <row r="100" spans="1:17" x14ac:dyDescent="0.5">
      <c r="A100" s="19" t="s">
        <v>231</v>
      </c>
      <c r="B100" s="2">
        <v>0.9</v>
      </c>
      <c r="C100" s="2">
        <v>0.9</v>
      </c>
      <c r="D100" s="2">
        <v>1.2</v>
      </c>
      <c r="E100" s="2">
        <v>1</v>
      </c>
      <c r="F100" s="2">
        <v>0.9</v>
      </c>
      <c r="G100" s="2">
        <v>1.2</v>
      </c>
      <c r="H100" s="2">
        <v>0.9</v>
      </c>
      <c r="I100" s="2">
        <v>0.9</v>
      </c>
      <c r="J100" s="2">
        <v>80</v>
      </c>
      <c r="K100" s="2">
        <v>112</v>
      </c>
      <c r="L100" s="2">
        <v>112</v>
      </c>
      <c r="M100" s="2">
        <v>112</v>
      </c>
      <c r="N100" s="2">
        <v>112</v>
      </c>
      <c r="O100" s="2"/>
      <c r="P100" s="21" t="s">
        <v>243</v>
      </c>
      <c r="Q100">
        <f>MEDIAN(B100:I100)</f>
        <v>0.9</v>
      </c>
    </row>
    <row r="101" spans="1:17" x14ac:dyDescent="0.5">
      <c r="A101" s="19" t="s">
        <v>233</v>
      </c>
      <c r="B101" s="2">
        <v>1</v>
      </c>
      <c r="C101" s="2">
        <v>1</v>
      </c>
      <c r="D101" s="2">
        <v>1.1000000000000001</v>
      </c>
      <c r="E101" s="2">
        <v>1</v>
      </c>
      <c r="F101" s="2">
        <v>1</v>
      </c>
      <c r="G101" s="2">
        <v>1.2</v>
      </c>
      <c r="H101" s="2">
        <v>1</v>
      </c>
      <c r="I101" s="2">
        <v>1</v>
      </c>
      <c r="J101" s="2">
        <v>120</v>
      </c>
      <c r="K101" s="2">
        <v>252</v>
      </c>
      <c r="L101" s="2">
        <v>154</v>
      </c>
      <c r="M101" s="2">
        <v>154</v>
      </c>
      <c r="N101" s="2">
        <v>252</v>
      </c>
      <c r="O101" s="2"/>
      <c r="P101" s="21" t="s">
        <v>243</v>
      </c>
      <c r="Q101">
        <f>MEDIAN(B101:I101)</f>
        <v>1</v>
      </c>
    </row>
    <row r="102" spans="1:17" x14ac:dyDescent="0.5">
      <c r="A102" s="19" t="s">
        <v>234</v>
      </c>
      <c r="B102" s="2">
        <v>0.65</v>
      </c>
      <c r="C102" s="2">
        <v>0.9</v>
      </c>
      <c r="D102" s="2">
        <v>0.55000000000000004</v>
      </c>
      <c r="E102" s="2">
        <v>0.6</v>
      </c>
      <c r="F102" s="2">
        <v>0.4</v>
      </c>
      <c r="G102" s="2">
        <v>0.6</v>
      </c>
      <c r="H102" s="2">
        <v>0.6</v>
      </c>
      <c r="I102" s="2">
        <v>1.1000000000000001</v>
      </c>
      <c r="J102" s="2">
        <v>120</v>
      </c>
      <c r="K102" s="2">
        <v>999</v>
      </c>
      <c r="L102" s="2">
        <v>999</v>
      </c>
      <c r="M102" s="2">
        <v>252</v>
      </c>
      <c r="N102" s="2">
        <v>999</v>
      </c>
      <c r="O102" s="2"/>
      <c r="P102" s="21" t="s">
        <v>257</v>
      </c>
      <c r="Q102">
        <f>MEDIAN(B102:I102)</f>
        <v>0.6</v>
      </c>
    </row>
    <row r="103" spans="1:17" x14ac:dyDescent="0.5">
      <c r="A103" s="15" t="s">
        <v>207</v>
      </c>
      <c r="B103" s="2">
        <v>1</v>
      </c>
      <c r="C103" s="2">
        <v>1</v>
      </c>
      <c r="D103" s="2">
        <v>1</v>
      </c>
      <c r="E103" s="2">
        <v>1</v>
      </c>
      <c r="F103" s="2">
        <v>0.8</v>
      </c>
      <c r="G103" s="2">
        <v>0.8</v>
      </c>
      <c r="H103" s="2">
        <v>0.8</v>
      </c>
      <c r="I103" s="2">
        <v>0.6</v>
      </c>
      <c r="J103" s="2">
        <v>105</v>
      </c>
      <c r="K103" s="2">
        <v>154</v>
      </c>
      <c r="L103" s="2">
        <v>154</v>
      </c>
      <c r="M103" s="2">
        <v>154</v>
      </c>
      <c r="N103" s="2">
        <v>154</v>
      </c>
      <c r="O103" s="2" t="s">
        <v>134</v>
      </c>
      <c r="P103" s="9" t="s">
        <v>197</v>
      </c>
      <c r="Q103">
        <f t="shared" si="3"/>
        <v>0.9</v>
      </c>
    </row>
    <row r="104" spans="1:17" x14ac:dyDescent="0.5">
      <c r="A104" s="15" t="s">
        <v>70</v>
      </c>
      <c r="B104" s="2">
        <v>1</v>
      </c>
      <c r="C104" s="2">
        <v>1</v>
      </c>
      <c r="D104" s="2">
        <v>1</v>
      </c>
      <c r="E104" s="2">
        <v>1</v>
      </c>
      <c r="F104" s="2">
        <v>1.1000000000000001</v>
      </c>
      <c r="G104" s="2">
        <v>1.1499999999999999</v>
      </c>
      <c r="H104" s="2">
        <v>1.2</v>
      </c>
      <c r="I104" s="2">
        <v>1.1000000000000001</v>
      </c>
      <c r="J104" s="2">
        <v>120</v>
      </c>
      <c r="K104" s="2">
        <v>154</v>
      </c>
      <c r="L104" s="2" t="s">
        <v>77</v>
      </c>
      <c r="M104" s="2" t="s">
        <v>77</v>
      </c>
      <c r="N104" s="2">
        <v>154</v>
      </c>
      <c r="O104" s="2" t="s">
        <v>134</v>
      </c>
      <c r="P104" s="9" t="s">
        <v>182</v>
      </c>
      <c r="Q104">
        <f t="shared" si="3"/>
        <v>1.05</v>
      </c>
    </row>
    <row r="105" spans="1:17" x14ac:dyDescent="0.5">
      <c r="A105" s="15" t="s">
        <v>71</v>
      </c>
      <c r="B105" s="2">
        <v>1</v>
      </c>
      <c r="C105" s="2">
        <v>1.1000000000000001</v>
      </c>
      <c r="D105" s="2">
        <v>1</v>
      </c>
      <c r="E105" s="2">
        <v>1</v>
      </c>
      <c r="F105" s="2">
        <v>1.2</v>
      </c>
      <c r="G105" s="2">
        <v>0.2</v>
      </c>
      <c r="H105" s="2">
        <v>1.1000000000000001</v>
      </c>
      <c r="I105" s="2">
        <v>1.1000000000000001</v>
      </c>
      <c r="J105" s="2">
        <v>110</v>
      </c>
      <c r="K105" s="2">
        <v>252</v>
      </c>
      <c r="L105" s="2">
        <v>252</v>
      </c>
      <c r="M105" s="2">
        <v>252</v>
      </c>
      <c r="N105" s="2">
        <v>252</v>
      </c>
      <c r="O105" s="2" t="s">
        <v>134</v>
      </c>
      <c r="P105" s="9" t="s">
        <v>183</v>
      </c>
      <c r="Q105">
        <f t="shared" si="3"/>
        <v>1.05</v>
      </c>
    </row>
    <row r="106" spans="1:17" x14ac:dyDescent="0.5">
      <c r="A106" s="19" t="s">
        <v>235</v>
      </c>
      <c r="B106" s="2">
        <v>1</v>
      </c>
      <c r="C106" s="2">
        <v>1.1000000000000001</v>
      </c>
      <c r="D106" s="2">
        <v>0.9</v>
      </c>
      <c r="E106" s="2">
        <v>1</v>
      </c>
      <c r="F106" s="2">
        <v>0.85</v>
      </c>
      <c r="G106" s="2">
        <v>0.9</v>
      </c>
      <c r="H106" s="2">
        <v>1.1000000000000001</v>
      </c>
      <c r="I106" s="2">
        <v>1.1000000000000001</v>
      </c>
      <c r="J106" s="2">
        <v>150</v>
      </c>
      <c r="K106" s="2">
        <v>542</v>
      </c>
      <c r="L106" s="2">
        <v>542</v>
      </c>
      <c r="M106" s="2">
        <v>542</v>
      </c>
      <c r="N106" s="2">
        <v>542</v>
      </c>
      <c r="O106" s="2" t="s">
        <v>117</v>
      </c>
      <c r="P106" s="21" t="s">
        <v>244</v>
      </c>
      <c r="Q106">
        <f>MEDIAN(B106:I106)</f>
        <v>1</v>
      </c>
    </row>
    <row r="107" spans="1:17" x14ac:dyDescent="0.5">
      <c r="A107" s="15" t="s">
        <v>68</v>
      </c>
      <c r="B107" s="2">
        <v>0.84</v>
      </c>
      <c r="C107" s="2">
        <v>1.1000000000000001</v>
      </c>
      <c r="D107" s="2">
        <v>0.93</v>
      </c>
      <c r="E107" s="2">
        <v>0.7</v>
      </c>
      <c r="F107" s="2">
        <v>0.5</v>
      </c>
      <c r="G107" s="2">
        <v>0.7</v>
      </c>
      <c r="H107" s="2">
        <v>0.5</v>
      </c>
      <c r="I107" s="2">
        <v>0.5</v>
      </c>
      <c r="J107" s="2">
        <v>100</v>
      </c>
      <c r="K107" s="2">
        <v>252</v>
      </c>
      <c r="L107" s="2" t="s">
        <v>77</v>
      </c>
      <c r="M107" s="2">
        <v>252</v>
      </c>
      <c r="N107" s="2">
        <v>252</v>
      </c>
      <c r="O107" s="2" t="s">
        <v>134</v>
      </c>
      <c r="P107" s="9" t="s">
        <v>190</v>
      </c>
      <c r="Q107">
        <f t="shared" si="3"/>
        <v>0.7</v>
      </c>
    </row>
    <row r="108" spans="1:17" x14ac:dyDescent="0.5">
      <c r="A108" s="15" t="s">
        <v>69</v>
      </c>
      <c r="B108" s="2">
        <v>1.1000000000000001</v>
      </c>
      <c r="C108" s="2">
        <v>1.1000000000000001</v>
      </c>
      <c r="D108" s="2">
        <v>0.94</v>
      </c>
      <c r="E108" s="2">
        <v>0.92</v>
      </c>
      <c r="F108" s="2">
        <v>0.7</v>
      </c>
      <c r="G108" s="2">
        <v>0.2</v>
      </c>
      <c r="H108" s="2">
        <v>0.7</v>
      </c>
      <c r="I108" s="2">
        <v>0.7</v>
      </c>
      <c r="J108" s="2">
        <v>100</v>
      </c>
      <c r="K108" s="2" t="s">
        <v>77</v>
      </c>
      <c r="L108" s="2">
        <v>154</v>
      </c>
      <c r="M108" s="2">
        <v>154</v>
      </c>
      <c r="N108" s="2">
        <v>252</v>
      </c>
      <c r="O108" s="2" t="s">
        <v>134</v>
      </c>
      <c r="P108" s="9"/>
      <c r="Q108">
        <f t="shared" si="3"/>
        <v>0.81</v>
      </c>
    </row>
    <row r="109" spans="1:17" x14ac:dyDescent="0.5">
      <c r="A109" s="15" t="s">
        <v>144</v>
      </c>
      <c r="B109" s="2">
        <v>0.9</v>
      </c>
      <c r="C109" s="2">
        <v>0.9</v>
      </c>
      <c r="D109" s="2">
        <v>0.65</v>
      </c>
      <c r="E109" s="2">
        <v>1</v>
      </c>
      <c r="F109" s="2">
        <v>0.8</v>
      </c>
      <c r="G109" s="2">
        <v>0.8</v>
      </c>
      <c r="H109" s="2">
        <v>0.8</v>
      </c>
      <c r="I109" s="2">
        <v>0.8</v>
      </c>
      <c r="J109" s="2">
        <v>90</v>
      </c>
      <c r="K109" s="2">
        <v>154</v>
      </c>
      <c r="L109" s="2">
        <v>154</v>
      </c>
      <c r="M109" s="2">
        <v>154</v>
      </c>
      <c r="N109" s="2">
        <v>154</v>
      </c>
      <c r="O109" s="2" t="s">
        <v>118</v>
      </c>
      <c r="P109" s="9" t="s">
        <v>197</v>
      </c>
      <c r="Q109">
        <f t="shared" si="3"/>
        <v>0.8</v>
      </c>
    </row>
    <row r="110" spans="1:17" x14ac:dyDescent="0.5">
      <c r="A110" s="15" t="s">
        <v>19</v>
      </c>
      <c r="B110" s="2">
        <v>1</v>
      </c>
      <c r="C110" s="2">
        <v>1</v>
      </c>
      <c r="D110" s="2">
        <v>1.1000000000000001</v>
      </c>
      <c r="E110" s="2">
        <v>1</v>
      </c>
      <c r="F110" s="2">
        <v>1</v>
      </c>
      <c r="G110" s="2">
        <v>1</v>
      </c>
      <c r="H110" s="2">
        <v>1</v>
      </c>
      <c r="I110" s="2">
        <v>0.6</v>
      </c>
      <c r="J110" s="2">
        <v>80</v>
      </c>
      <c r="K110" s="2">
        <v>154</v>
      </c>
      <c r="L110" s="2">
        <v>154</v>
      </c>
      <c r="M110" s="2">
        <v>154</v>
      </c>
      <c r="N110" s="2">
        <v>154</v>
      </c>
      <c r="O110" s="2" t="s">
        <v>137</v>
      </c>
      <c r="P110" s="9"/>
      <c r="Q110">
        <f t="shared" si="3"/>
        <v>1</v>
      </c>
    </row>
    <row r="111" spans="1:17" x14ac:dyDescent="0.5">
      <c r="A111" s="15" t="s">
        <v>67</v>
      </c>
      <c r="B111" s="2">
        <v>0.9</v>
      </c>
      <c r="C111" s="2">
        <v>0.9</v>
      </c>
      <c r="D111" s="2">
        <v>0.65</v>
      </c>
      <c r="E111" s="2">
        <v>0.9</v>
      </c>
      <c r="F111" s="2">
        <v>0.6</v>
      </c>
      <c r="G111" s="2">
        <v>0.2</v>
      </c>
      <c r="H111" s="2">
        <v>0.6</v>
      </c>
      <c r="I111" s="2">
        <v>0.6</v>
      </c>
      <c r="J111" s="2">
        <v>120</v>
      </c>
      <c r="K111" s="2">
        <v>252</v>
      </c>
      <c r="L111" s="2">
        <v>252</v>
      </c>
      <c r="M111" s="2">
        <v>252</v>
      </c>
      <c r="N111" s="2">
        <v>542</v>
      </c>
      <c r="O111" s="2" t="s">
        <v>117</v>
      </c>
      <c r="P111" s="9" t="s">
        <v>195</v>
      </c>
      <c r="Q111">
        <f t="shared" si="3"/>
        <v>0.625</v>
      </c>
    </row>
    <row r="112" spans="1:17" x14ac:dyDescent="0.5">
      <c r="A112" s="15" t="s">
        <v>72</v>
      </c>
      <c r="B112" s="2">
        <v>0.8</v>
      </c>
      <c r="C112" s="2">
        <v>0.82</v>
      </c>
      <c r="D112" s="2">
        <v>0.79</v>
      </c>
      <c r="E112" s="2">
        <v>0.98</v>
      </c>
      <c r="F112" s="2">
        <v>0.9</v>
      </c>
      <c r="G112" s="2">
        <v>0.65</v>
      </c>
      <c r="H112" s="2">
        <v>1.31</v>
      </c>
      <c r="I112" s="2">
        <v>1</v>
      </c>
      <c r="J112" s="2">
        <v>80</v>
      </c>
      <c r="K112" s="2">
        <v>252</v>
      </c>
      <c r="L112" s="2">
        <v>252</v>
      </c>
      <c r="M112" s="2">
        <v>252</v>
      </c>
      <c r="N112" s="2">
        <v>154</v>
      </c>
      <c r="O112" s="2" t="s">
        <v>117</v>
      </c>
      <c r="P112" s="9" t="s">
        <v>211</v>
      </c>
      <c r="Q112">
        <f t="shared" si="3"/>
        <v>0.86</v>
      </c>
    </row>
    <row r="113" spans="1:17" x14ac:dyDescent="0.5">
      <c r="A113" s="15" t="s">
        <v>73</v>
      </c>
      <c r="B113" s="2">
        <v>0.79</v>
      </c>
      <c r="C113" s="2">
        <v>0.81</v>
      </c>
      <c r="D113" s="2">
        <v>0.78</v>
      </c>
      <c r="E113" s="2">
        <v>0.8</v>
      </c>
      <c r="F113" s="2">
        <v>0.76</v>
      </c>
      <c r="G113" s="2">
        <v>0.77</v>
      </c>
      <c r="H113" s="2">
        <v>0.17</v>
      </c>
      <c r="I113" s="2">
        <v>1.08</v>
      </c>
      <c r="J113" s="2">
        <v>100</v>
      </c>
      <c r="K113" s="2">
        <v>252</v>
      </c>
      <c r="L113" s="2" t="s">
        <v>77</v>
      </c>
      <c r="M113" s="2">
        <v>252</v>
      </c>
      <c r="N113" s="2">
        <v>252</v>
      </c>
      <c r="O113" s="2" t="s">
        <v>117</v>
      </c>
      <c r="P113" s="9" t="s">
        <v>187</v>
      </c>
      <c r="Q113">
        <f t="shared" si="3"/>
        <v>0.78500000000000003</v>
      </c>
    </row>
    <row r="114" spans="1:17" x14ac:dyDescent="0.5">
      <c r="A114" s="15" t="s">
        <v>74</v>
      </c>
      <c r="B114" s="2">
        <v>0.8</v>
      </c>
      <c r="C114" s="2">
        <v>0.81</v>
      </c>
      <c r="D114" s="2">
        <v>0.78</v>
      </c>
      <c r="E114" s="2">
        <v>0.8</v>
      </c>
      <c r="F114" s="2">
        <v>0.81</v>
      </c>
      <c r="G114" s="2">
        <v>0.82</v>
      </c>
      <c r="H114" s="2">
        <v>0.83</v>
      </c>
      <c r="I114" s="2">
        <v>1.26</v>
      </c>
      <c r="J114" s="2">
        <v>100</v>
      </c>
      <c r="K114" s="2">
        <v>252</v>
      </c>
      <c r="L114" s="2" t="s">
        <v>77</v>
      </c>
      <c r="M114" s="2">
        <v>252</v>
      </c>
      <c r="N114" s="2" t="s">
        <v>77</v>
      </c>
      <c r="O114" s="2" t="s">
        <v>117</v>
      </c>
      <c r="P114" s="9" t="s">
        <v>187</v>
      </c>
      <c r="Q114">
        <f t="shared" si="3"/>
        <v>0.81</v>
      </c>
    </row>
    <row r="115" spans="1:17" x14ac:dyDescent="0.5">
      <c r="A115" s="19" t="s">
        <v>241</v>
      </c>
      <c r="B115" s="2">
        <v>1</v>
      </c>
      <c r="C115" s="2">
        <v>0.99</v>
      </c>
      <c r="D115" s="2">
        <v>1.18</v>
      </c>
      <c r="E115" s="2">
        <v>1.02</v>
      </c>
      <c r="F115" s="2">
        <v>0.8</v>
      </c>
      <c r="G115" s="2">
        <v>0.22</v>
      </c>
      <c r="H115" s="2">
        <v>0.78</v>
      </c>
      <c r="I115" s="2">
        <v>0.83</v>
      </c>
      <c r="J115" s="2">
        <v>120</v>
      </c>
      <c r="K115" s="2">
        <v>252</v>
      </c>
      <c r="L115" s="2">
        <v>999</v>
      </c>
      <c r="M115" s="2">
        <v>542</v>
      </c>
      <c r="N115" s="2">
        <v>999</v>
      </c>
      <c r="O115" s="2"/>
      <c r="P115" s="9"/>
      <c r="Q115">
        <f>MEDIAN(B115:I115)</f>
        <v>0.90999999999999992</v>
      </c>
    </row>
    <row r="116" spans="1:17" x14ac:dyDescent="0.5">
      <c r="A116" s="15" t="s">
        <v>104</v>
      </c>
      <c r="B116" s="2">
        <v>1</v>
      </c>
      <c r="C116" s="2">
        <v>1</v>
      </c>
      <c r="D116" s="2">
        <v>1</v>
      </c>
      <c r="E116" s="2">
        <v>1.1000000000000001</v>
      </c>
      <c r="F116" s="2">
        <v>1</v>
      </c>
      <c r="G116" s="2">
        <v>0.5</v>
      </c>
      <c r="H116" s="2">
        <v>1</v>
      </c>
      <c r="I116" s="2">
        <v>1.35</v>
      </c>
      <c r="J116" s="2">
        <v>120</v>
      </c>
      <c r="K116" s="2">
        <v>252</v>
      </c>
      <c r="L116" s="2">
        <v>542</v>
      </c>
      <c r="M116" s="2">
        <v>252</v>
      </c>
      <c r="N116" s="2">
        <v>542</v>
      </c>
      <c r="O116" s="2" t="s">
        <v>138</v>
      </c>
      <c r="P116" s="9" t="s">
        <v>208</v>
      </c>
      <c r="Q116">
        <f t="shared" si="3"/>
        <v>1</v>
      </c>
    </row>
    <row r="117" spans="1:17" x14ac:dyDescent="0.5">
      <c r="A117" s="15" t="s">
        <v>105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0.8</v>
      </c>
      <c r="H117" s="2">
        <v>0.5</v>
      </c>
      <c r="I117" s="2">
        <v>1</v>
      </c>
      <c r="J117" s="2">
        <v>150</v>
      </c>
      <c r="K117" s="2">
        <v>542</v>
      </c>
      <c r="L117" s="2">
        <v>154</v>
      </c>
      <c r="M117" s="2">
        <v>154</v>
      </c>
      <c r="N117" s="2">
        <v>154</v>
      </c>
      <c r="O117" s="2" t="s">
        <v>75</v>
      </c>
      <c r="P117" s="9" t="s">
        <v>248</v>
      </c>
      <c r="Q117">
        <f t="shared" si="3"/>
        <v>1</v>
      </c>
    </row>
    <row r="118" spans="1:17" ht="32.6" x14ac:dyDescent="0.5">
      <c r="A118" s="15" t="s">
        <v>106</v>
      </c>
      <c r="B118" s="2">
        <v>1.1499999999999999</v>
      </c>
      <c r="C118" s="2">
        <v>1.1499999999999999</v>
      </c>
      <c r="D118" s="2">
        <v>1.25</v>
      </c>
      <c r="E118" s="2">
        <v>1.25</v>
      </c>
      <c r="F118" s="2">
        <v>0.5</v>
      </c>
      <c r="G118" s="2">
        <v>1.4</v>
      </c>
      <c r="H118" s="2">
        <v>0.9</v>
      </c>
      <c r="I118" s="2">
        <v>0.9</v>
      </c>
      <c r="J118" s="2">
        <v>100</v>
      </c>
      <c r="K118" s="2">
        <v>154</v>
      </c>
      <c r="L118" s="2">
        <v>542</v>
      </c>
      <c r="M118" s="2">
        <v>154</v>
      </c>
      <c r="N118" s="2">
        <v>154</v>
      </c>
      <c r="O118" s="2" t="s">
        <v>138</v>
      </c>
      <c r="P118" s="9" t="s">
        <v>249</v>
      </c>
      <c r="Q118">
        <f t="shared" si="3"/>
        <v>1.1499999999999999</v>
      </c>
    </row>
    <row r="119" spans="1:17" x14ac:dyDescent="0.5">
      <c r="A119" s="15" t="s">
        <v>150</v>
      </c>
      <c r="B119" s="2">
        <v>0.9</v>
      </c>
      <c r="C119" s="2">
        <v>1.2</v>
      </c>
      <c r="D119" s="2">
        <v>0.8</v>
      </c>
      <c r="E119" s="2">
        <v>1.1000000000000001</v>
      </c>
      <c r="F119" s="2">
        <v>0.9</v>
      </c>
      <c r="G119" s="2">
        <v>1.35</v>
      </c>
      <c r="H119" s="2">
        <v>0.9</v>
      </c>
      <c r="I119" s="2">
        <v>0.9</v>
      </c>
      <c r="J119" s="2">
        <v>150</v>
      </c>
      <c r="K119" s="2">
        <v>154</v>
      </c>
      <c r="L119" s="2">
        <v>252</v>
      </c>
      <c r="M119" s="2">
        <v>154</v>
      </c>
      <c r="N119" s="2">
        <v>154</v>
      </c>
      <c r="O119" s="2" t="s">
        <v>75</v>
      </c>
      <c r="P119" s="9" t="s">
        <v>250</v>
      </c>
      <c r="Q119">
        <f t="shared" si="3"/>
        <v>0.9</v>
      </c>
    </row>
    <row r="120" spans="1:17" x14ac:dyDescent="0.5">
      <c r="A120" s="15" t="s">
        <v>151</v>
      </c>
      <c r="B120" s="2">
        <v>1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100</v>
      </c>
      <c r="K120" s="2" t="s">
        <v>77</v>
      </c>
      <c r="L120" s="2" t="s">
        <v>77</v>
      </c>
      <c r="M120" s="2" t="s">
        <v>77</v>
      </c>
      <c r="N120" s="2" t="s">
        <v>77</v>
      </c>
      <c r="O120" s="2" t="s">
        <v>75</v>
      </c>
      <c r="P120" s="9"/>
      <c r="Q120">
        <f t="shared" si="3"/>
        <v>1</v>
      </c>
    </row>
    <row r="121" spans="1:17" x14ac:dyDescent="0.5">
      <c r="A121" s="15" t="s">
        <v>156</v>
      </c>
      <c r="B121" s="2">
        <v>1</v>
      </c>
      <c r="C121" s="2">
        <v>0.8</v>
      </c>
      <c r="D121" s="2">
        <v>1.1499999999999999</v>
      </c>
      <c r="E121" s="2">
        <v>0.9</v>
      </c>
      <c r="F121" s="2">
        <v>0.8</v>
      </c>
      <c r="G121" s="2">
        <v>0.5</v>
      </c>
      <c r="H121" s="2">
        <v>1.4</v>
      </c>
      <c r="I121" s="2">
        <v>0.85</v>
      </c>
      <c r="J121" s="2">
        <v>150</v>
      </c>
      <c r="K121" s="2" t="s">
        <v>77</v>
      </c>
      <c r="L121" s="2" t="s">
        <v>77</v>
      </c>
      <c r="M121" s="2">
        <v>252</v>
      </c>
      <c r="N121" s="2">
        <v>252</v>
      </c>
      <c r="O121" s="2" t="s">
        <v>138</v>
      </c>
      <c r="P121" s="9" t="s">
        <v>196</v>
      </c>
      <c r="Q121">
        <f t="shared" si="3"/>
        <v>0.875</v>
      </c>
    </row>
    <row r="122" spans="1:17" ht="32.6" x14ac:dyDescent="0.5">
      <c r="A122" s="15" t="s">
        <v>107</v>
      </c>
      <c r="B122" s="2">
        <v>1</v>
      </c>
      <c r="C122" s="2">
        <v>1</v>
      </c>
      <c r="D122" s="2">
        <v>1.1000000000000001</v>
      </c>
      <c r="E122" s="2">
        <v>1</v>
      </c>
      <c r="F122" s="2">
        <v>0.8</v>
      </c>
      <c r="G122" s="2">
        <v>1.2</v>
      </c>
      <c r="H122" s="2">
        <v>1</v>
      </c>
      <c r="I122" s="2">
        <v>1.35</v>
      </c>
      <c r="J122" s="2">
        <v>120</v>
      </c>
      <c r="K122" s="2">
        <v>252</v>
      </c>
      <c r="L122" s="2">
        <v>154</v>
      </c>
      <c r="M122" s="2">
        <v>154</v>
      </c>
      <c r="N122" s="2">
        <v>252</v>
      </c>
      <c r="O122" s="2" t="s">
        <v>138</v>
      </c>
      <c r="P122" s="9" t="s">
        <v>215</v>
      </c>
      <c r="Q122">
        <f t="shared" si="3"/>
        <v>1</v>
      </c>
    </row>
    <row r="123" spans="1:17" x14ac:dyDescent="0.5">
      <c r="A123" s="15" t="s">
        <v>108</v>
      </c>
      <c r="B123" s="2">
        <v>1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1.2</v>
      </c>
      <c r="I123" s="2">
        <v>0.7</v>
      </c>
      <c r="J123" s="2">
        <v>155</v>
      </c>
      <c r="K123" s="2">
        <v>154</v>
      </c>
      <c r="L123" s="2">
        <v>154</v>
      </c>
      <c r="M123" s="2">
        <v>154</v>
      </c>
      <c r="N123" s="2">
        <v>154</v>
      </c>
      <c r="O123" s="2" t="s">
        <v>75</v>
      </c>
      <c r="P123" s="9" t="s">
        <v>268</v>
      </c>
      <c r="Q123">
        <f t="shared" si="3"/>
        <v>1</v>
      </c>
    </row>
    <row r="124" spans="1:17" ht="32.6" x14ac:dyDescent="0.5">
      <c r="A124" s="15" t="s">
        <v>109</v>
      </c>
      <c r="B124" s="2">
        <v>1</v>
      </c>
      <c r="C124" s="2">
        <v>1.1499999999999999</v>
      </c>
      <c r="D124" s="2">
        <v>0.85</v>
      </c>
      <c r="E124" s="2">
        <v>0.9</v>
      </c>
      <c r="F124" s="2">
        <v>0.8</v>
      </c>
      <c r="G124" s="2">
        <v>1.35</v>
      </c>
      <c r="H124" s="2">
        <v>0.8</v>
      </c>
      <c r="I124" s="2">
        <v>0.8</v>
      </c>
      <c r="J124" s="2">
        <v>160</v>
      </c>
      <c r="K124" s="2">
        <v>252</v>
      </c>
      <c r="L124" s="2">
        <v>252</v>
      </c>
      <c r="M124" s="2">
        <v>252</v>
      </c>
      <c r="N124" s="2">
        <v>542</v>
      </c>
      <c r="O124" s="2" t="s">
        <v>138</v>
      </c>
      <c r="P124" s="9" t="s">
        <v>206</v>
      </c>
      <c r="Q124">
        <f t="shared" si="3"/>
        <v>0.875</v>
      </c>
    </row>
    <row r="125" spans="1:17" x14ac:dyDescent="0.5">
      <c r="A125" s="15" t="s">
        <v>110</v>
      </c>
      <c r="B125" s="2">
        <v>1</v>
      </c>
      <c r="C125" s="2">
        <v>0.9</v>
      </c>
      <c r="D125" s="2">
        <v>1.1499999999999999</v>
      </c>
      <c r="E125" s="2">
        <v>1.1000000000000001</v>
      </c>
      <c r="F125" s="2">
        <v>1</v>
      </c>
      <c r="G125" s="2">
        <v>1.2</v>
      </c>
      <c r="H125" s="2">
        <v>1</v>
      </c>
      <c r="I125" s="2">
        <v>1.35</v>
      </c>
      <c r="J125" s="2">
        <v>130</v>
      </c>
      <c r="K125" s="2" t="s">
        <v>77</v>
      </c>
      <c r="L125" s="2" t="s">
        <v>77</v>
      </c>
      <c r="M125" s="2">
        <v>252</v>
      </c>
      <c r="N125" s="2" t="s">
        <v>77</v>
      </c>
      <c r="O125" s="2" t="s">
        <v>75</v>
      </c>
      <c r="P125" s="9" t="s">
        <v>210</v>
      </c>
      <c r="Q125">
        <f t="shared" si="3"/>
        <v>1.05</v>
      </c>
    </row>
    <row r="126" spans="1:17" x14ac:dyDescent="0.5">
      <c r="A126" s="16" t="s">
        <v>111</v>
      </c>
      <c r="B126" s="10">
        <v>1</v>
      </c>
      <c r="C126" s="10">
        <v>1.1000000000000001</v>
      </c>
      <c r="D126" s="10">
        <v>0.9</v>
      </c>
      <c r="E126" s="10">
        <v>1.1499999999999999</v>
      </c>
      <c r="F126" s="10">
        <v>1</v>
      </c>
      <c r="G126" s="10">
        <v>1</v>
      </c>
      <c r="H126" s="10">
        <v>1.2</v>
      </c>
      <c r="I126" s="10">
        <v>1.2</v>
      </c>
      <c r="J126" s="10">
        <v>130</v>
      </c>
      <c r="K126" s="10" t="s">
        <v>77</v>
      </c>
      <c r="L126" s="10" t="s">
        <v>77</v>
      </c>
      <c r="M126" s="10">
        <v>252</v>
      </c>
      <c r="N126" s="10" t="s">
        <v>77</v>
      </c>
      <c r="O126" s="10" t="s">
        <v>75</v>
      </c>
      <c r="P126" s="9" t="s">
        <v>212</v>
      </c>
      <c r="Q126">
        <f t="shared" si="3"/>
        <v>1.05</v>
      </c>
    </row>
    <row r="127" spans="1:17" x14ac:dyDescent="0.5">
      <c r="A127" s="22" t="s">
        <v>237</v>
      </c>
      <c r="B127" s="2">
        <v>1</v>
      </c>
      <c r="C127" s="2">
        <v>1</v>
      </c>
      <c r="D127" s="2">
        <v>1.1000000000000001</v>
      </c>
      <c r="E127" s="2">
        <v>1.1000000000000001</v>
      </c>
      <c r="F127" s="2">
        <v>1</v>
      </c>
      <c r="G127" s="2">
        <v>1.2</v>
      </c>
      <c r="H127" s="2">
        <v>0.9</v>
      </c>
      <c r="I127" s="2">
        <v>1.25</v>
      </c>
      <c r="J127" s="2">
        <v>150</v>
      </c>
      <c r="K127" s="2">
        <v>252</v>
      </c>
      <c r="L127" s="2">
        <v>542</v>
      </c>
      <c r="M127" s="2">
        <v>542</v>
      </c>
      <c r="N127" s="2">
        <v>252</v>
      </c>
      <c r="O127" s="2" t="s">
        <v>75</v>
      </c>
      <c r="P127" s="2" t="s">
        <v>242</v>
      </c>
      <c r="Q127">
        <f t="shared" si="3"/>
        <v>1.05</v>
      </c>
    </row>
    <row r="128" spans="1:17" x14ac:dyDescent="0.5">
      <c r="A128" s="22" t="s">
        <v>236</v>
      </c>
      <c r="B128" s="2">
        <v>1</v>
      </c>
      <c r="C128" s="2">
        <v>1.1000000000000001</v>
      </c>
      <c r="D128" s="2">
        <v>0.92</v>
      </c>
      <c r="E128" s="2">
        <v>1</v>
      </c>
      <c r="F128" s="2">
        <v>1</v>
      </c>
      <c r="G128" s="2">
        <v>0.92</v>
      </c>
      <c r="H128" s="2">
        <v>0.9</v>
      </c>
      <c r="I128" s="2">
        <v>0.7</v>
      </c>
      <c r="J128" s="2" t="s">
        <v>260</v>
      </c>
      <c r="K128" s="2">
        <v>252</v>
      </c>
      <c r="L128" s="2">
        <v>252</v>
      </c>
      <c r="M128" s="2">
        <v>252</v>
      </c>
      <c r="N128" s="2">
        <v>252</v>
      </c>
      <c r="O128" s="2" t="s">
        <v>138</v>
      </c>
      <c r="P128" s="2" t="s">
        <v>264</v>
      </c>
      <c r="Q128">
        <f t="shared" si="3"/>
        <v>0.96</v>
      </c>
    </row>
    <row r="129" spans="1:17" x14ac:dyDescent="0.5">
      <c r="A129" s="22" t="s">
        <v>259</v>
      </c>
      <c r="B129" s="2">
        <v>1</v>
      </c>
      <c r="C129" s="2">
        <v>1</v>
      </c>
      <c r="D129" s="2">
        <v>1.1000000000000001</v>
      </c>
      <c r="E129" s="2">
        <v>1.1000000000000001</v>
      </c>
      <c r="F129" s="2">
        <v>1</v>
      </c>
      <c r="G129" s="2">
        <v>1</v>
      </c>
      <c r="H129" s="2">
        <v>1</v>
      </c>
      <c r="I129" s="2">
        <v>0.6</v>
      </c>
      <c r="J129" s="2">
        <v>75</v>
      </c>
      <c r="K129" s="2">
        <v>154</v>
      </c>
      <c r="L129" s="2">
        <v>252</v>
      </c>
      <c r="M129" s="2">
        <v>252</v>
      </c>
      <c r="N129" s="2">
        <v>154</v>
      </c>
      <c r="O129" s="2"/>
      <c r="P129" s="23"/>
      <c r="Q129">
        <f t="shared" si="3"/>
        <v>1</v>
      </c>
    </row>
    <row r="130" spans="1:17" x14ac:dyDescent="0.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7" x14ac:dyDescent="0.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7" x14ac:dyDescent="0.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7" x14ac:dyDescent="0.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7" x14ac:dyDescent="0.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7" x14ac:dyDescent="0.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7" x14ac:dyDescent="0.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7" x14ac:dyDescent="0.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7" x14ac:dyDescent="0.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7" x14ac:dyDescent="0.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7" x14ac:dyDescent="0.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7" x14ac:dyDescent="0.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7" x14ac:dyDescent="0.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7" x14ac:dyDescent="0.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7" x14ac:dyDescent="0.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customFormat="1" x14ac:dyDescent="0.5"/>
    <row r="146" customFormat="1" x14ac:dyDescent="0.5"/>
    <row r="147" customFormat="1" x14ac:dyDescent="0.5"/>
    <row r="148" customFormat="1" x14ac:dyDescent="0.5"/>
    <row r="149" customFormat="1" x14ac:dyDescent="0.5"/>
    <row r="150" customFormat="1" x14ac:dyDescent="0.5"/>
    <row r="151" customFormat="1" x14ac:dyDescent="0.5"/>
    <row r="152" customFormat="1" x14ac:dyDescent="0.5"/>
    <row r="153" customFormat="1" x14ac:dyDescent="0.5"/>
    <row r="154" customFormat="1" x14ac:dyDescent="0.5"/>
    <row r="155" customFormat="1" x14ac:dyDescent="0.5"/>
    <row r="156" customFormat="1" x14ac:dyDescent="0.5"/>
    <row r="157" customFormat="1" x14ac:dyDescent="0.5"/>
    <row r="158" customFormat="1" x14ac:dyDescent="0.5"/>
    <row r="159" customFormat="1" x14ac:dyDescent="0.5"/>
    <row r="160" customFormat="1" x14ac:dyDescent="0.5"/>
    <row r="161" customFormat="1" x14ac:dyDescent="0.5"/>
    <row r="162" customFormat="1" x14ac:dyDescent="0.5"/>
    <row r="163" customFormat="1" x14ac:dyDescent="0.5"/>
    <row r="164" customFormat="1" x14ac:dyDescent="0.5"/>
    <row r="165" customFormat="1" x14ac:dyDescent="0.5"/>
    <row r="166" customFormat="1" x14ac:dyDescent="0.5"/>
  </sheetData>
  <mergeCells count="1">
    <mergeCell ref="A1:P1"/>
  </mergeCells>
  <phoneticPr fontId="4" type="noConversion"/>
  <conditionalFormatting sqref="B5:I129">
    <cfRule type="expression" dxfId="6" priority="18">
      <formula>B5&lt;$Q5*0.7</formula>
    </cfRule>
    <cfRule type="expression" dxfId="5" priority="19">
      <formula>B5&lt;$Q5*0.9</formula>
    </cfRule>
    <cfRule type="expression" dxfId="4" priority="20">
      <formula>B5&gt;$Q5*1.25</formula>
    </cfRule>
    <cfRule type="expression" dxfId="3" priority="21">
      <formula>B5&gt;$Q5*1.1</formula>
    </cfRule>
  </conditionalFormatting>
  <conditionalFormatting sqref="J80:J102 J127:J128 J115 J106 K5:O129">
    <cfRule type="cellIs" dxfId="2" priority="4" operator="equal">
      <formula>"免疫"</formula>
    </cfRule>
  </conditionalFormatting>
  <conditionalFormatting sqref="P79">
    <cfRule type="cellIs" dxfId="1" priority="2" operator="equal">
      <formula>"免疫"</formula>
    </cfRule>
  </conditionalFormatting>
  <conditionalFormatting sqref="J79">
    <cfRule type="cellIs" dxfId="0" priority="1" operator="equal">
      <formula>"免疫"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敌人属性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Mingxin</dc:creator>
  <cp:lastModifiedBy>Chen Mingxin</cp:lastModifiedBy>
  <dcterms:created xsi:type="dcterms:W3CDTF">2025-07-11T17:10:28Z</dcterms:created>
  <dcterms:modified xsi:type="dcterms:W3CDTF">2025-12-28T07:43:55Z</dcterms:modified>
</cp:coreProperties>
</file>